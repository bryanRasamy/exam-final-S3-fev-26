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<sst xmlns="http://schemas.openxmlformats.org/spreadsheetml/2006/main" count="68" uniqueCount="43">
  <si>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</si>
  <si>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</si>
  <si>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</si>
  <si>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</si>
  <si>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</si>
  <si>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</si>
  <si>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</si>
  <si>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</si>
  <si>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</si>
  <si>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</si>
  <si>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</si>
  <si>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</si>
  <si>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</si>
  <si>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</si>
  <si>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</si>
  <si>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</si>
  <si>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</si>
  <si>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</si>
  <si>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</si>
  <si>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</si>
  <si>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</si>
  <si>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</si>
  <si>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</si>
  <si>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</si>
  <si>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</si>
  <si>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Tsilavo</t>
  </si>
  <si>
    <t xml:space="preserve">WIP</t>
  </si>
  <si>
    <t xml:space="preserve">dashboard</t>
  </si>
  <si>
    <t xml:space="preserve">dashboard.php</t>
  </si>
  <si>
    <t xml:space="preserve">detail ville</t>
  </si>
  <si>
    <t xml:space="preserve">ville.php</t>
  </si>
  <si>
    <t xml:space="preserve">dispatch</t>
  </si>
  <si>
    <t xml:space="preserve">distribution.php</t>
  </si>
  <si>
    <t xml:space="preserve">saisie dons</t>
  </si>
  <si>
    <t xml:space="preserve">insert-dons.php</t>
  </si>
  <si>
    <t xml:space="preserve">saisie besoin</t>
  </si>
  <si>
    <t xml:space="preserve">Insert-besoin.php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</si>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</sst>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" createdVersion="3">
  <cacheSource type="worksheet">
    <worksheetSource ref="A1:J183" sheet="liste des taches"/>
  </cacheSource>
  <cacheFields count="10">
    <cacheField name="Module" numFmtId="0">
      <sharedItems containsString="0" containsBlank="1" count="1">
        <m/>
      </sharedItems>
    </cacheField>
    <cacheField name="Nom page" numFmtId="0">
      <sharedItems containsBlank="1" count="3">
        <s v="20260216-01-init-table.sql"/>
        <s v="20260216-02-insert.sql"/>
        <m/>
      </sharedItems>
    </cacheField>
    <cacheField name="Description" numFmtId="0">
      <sharedItems containsBlank="1" count="3">
        <s v="initiation des tables a utiliser"/>
        <s v="insertion des donnees"/>
        <m/>
      </sharedItems>
    </cacheField>
    <cacheField name="Type" numFmtId="0">
      <sharedItems containsBlank="1" count="2">
        <s v="Base"/>
        <m/>
      </sharedItems>
    </cacheField>
    <cacheField name="Estimation" numFmtId="0">
      <sharedItems containsString="0" containsBlank="1" containsNumber="1" containsInteger="1" minValue="15" maxValue="15" count="2">
        <n v="15"/>
        <m/>
      </sharedItems>
    </cacheField>
    <cacheField name="Temps passé" numFmtId="0">
      <sharedItems containsString="0" containsBlank="1" containsNumber="1" containsInteger="1" minValue="0" maxValue="0" count="2">
        <n v="0"/>
        <m/>
      </sharedItems>
    </cacheField>
    <cacheField name="Reste à faire" numFmtId="0">
      <sharedItems containsString="0" containsBlank="1" containsNumber="1" containsInteger="1" minValue="15" maxValue="15" count="2">
        <n v="15"/>
        <m/>
      </sharedItems>
    </cacheField>
    <cacheField name="Avancement" numFmtId="0">
      <sharedItems containsString="0" containsBlank="1" containsNumber="1" containsInteger="1" minValue="0" maxValue="0" count="2">
        <n v="0"/>
        <m/>
      </sharedItems>
    </cacheField>
    <cacheField name="Qui" numFmtId="0">
      <sharedItems containsBlank="1" count="3">
        <s v="Bryan"/>
        <s v="Hasina"/>
        <m/>
      </sharedItems>
    </cacheField>
    <cacheField name="Status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">
  <r>
    <x v="0"/>
    <x v="0"/>
    <x v="0"/>
    <x v="0"/>
    <x v="0"/>
    <x v="0"/>
    <x v="0"/>
    <x v="0"/>
    <x v="0"/>
    <x v="0"/>
  </r>
  <r>
    <x v="0"/>
    <x v="1"/>
    <x v="1"/>
    <x v="0"/>
    <x v="0"/>
    <x v="0"/>
    <x v="0"/>
    <x v="0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7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4">
        <item x="2"/>
        <item x="0"/>
        <item x="1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0.578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15</v>
      </c>
    </row>
    <row r="6" customFormat="false" ht="15.75" hidden="false" customHeight="false" outlineLevel="0" collapsed="false">
      <c r="A6" s="6" t="s">
        <v>4</v>
      </c>
      <c r="B6" s="8" t="n">
        <v>15</v>
      </c>
    </row>
    <row r="7" customFormat="false" ht="15.75" hidden="false" customHeight="false" outlineLevel="0" collapsed="false">
      <c r="A7" s="9" t="s">
        <v>5</v>
      </c>
      <c r="B7" s="10" t="n">
        <v>30</v>
      </c>
    </row>
    <row r="8" customFormat="false" ht="15.75" hidden="false" customHeight="false" outlineLevel="0" collapsed="false">
      <c r="A8" s="0"/>
      <c r="B8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G13" activeCellId="0" sqref="G13"/>
    </sheetView>
  </sheetViews>
  <sheetFormatPr defaultColWidth="10.578125" defaultRowHeight="15.75" zeroHeight="false" outlineLevelRow="0" outlineLevelCol="0"/>
  <cols>
    <col collapsed="false" customWidth="true" hidden="false" outlineLevel="0" max="1" min="1" style="1" width="11.66"/>
    <col collapsed="false" customWidth="true" hidden="false" outlineLevel="0" max="2" min="2" style="1" width="24.94"/>
    <col collapsed="false" customWidth="true" hidden="false" outlineLevel="0" max="3" min="3" style="1" width="37.24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6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12</v>
      </c>
      <c r="H1" s="11" t="s">
        <v>13</v>
      </c>
      <c r="I1" s="11" t="s">
        <v>0</v>
      </c>
      <c r="J1" s="11" t="s">
        <v>14</v>
      </c>
    </row>
    <row r="2" customFormat="false" ht="15" hidden="false" customHeight="false" outlineLevel="0" collapsed="false">
      <c r="B2" s="1" t="s">
        <v>15</v>
      </c>
      <c r="C2" s="1" t="s">
        <v>16</v>
      </c>
      <c r="D2" s="1" t="s">
        <v>17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18</v>
      </c>
    </row>
    <row r="3" customFormat="false" ht="15" hidden="false" customHeight="false" outlineLevel="0" collapsed="false">
      <c r="B3" s="1" t="s">
        <v>19</v>
      </c>
      <c r="C3" s="1" t="s">
        <v>20</v>
      </c>
      <c r="D3" s="1" t="s">
        <v>17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18</v>
      </c>
    </row>
    <row r="4" customFormat="false" ht="15" hidden="false" customHeight="false" outlineLevel="0" collapsed="false">
      <c r="A4" s="1" t="s">
        <v>21</v>
      </c>
      <c r="B4" s="1" t="s">
        <v>22</v>
      </c>
      <c r="C4" s="1" t="s">
        <v>23</v>
      </c>
      <c r="D4" s="1" t="s">
        <v>24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25</v>
      </c>
      <c r="J4" s="13" t="s">
        <v>26</v>
      </c>
    </row>
    <row r="5" customFormat="false" ht="15" hidden="false" customHeight="false" outlineLevel="0" collapsed="false">
      <c r="A5" s="1" t="s">
        <v>27</v>
      </c>
      <c r="B5" s="1" t="s">
        <v>28</v>
      </c>
      <c r="C5" s="1" t="s">
        <v>23</v>
      </c>
      <c r="D5" s="1" t="s">
        <v>24</v>
      </c>
      <c r="E5" s="1" t="n">
        <v>20</v>
      </c>
      <c r="F5" s="1" t="n">
        <v>20</v>
      </c>
      <c r="G5" s="1" t="n">
        <v>0</v>
      </c>
      <c r="H5" s="12" t="n">
        <f aca="false">(F5/(F5+G5))</f>
        <v>1</v>
      </c>
      <c r="I5" s="13" t="s">
        <v>25</v>
      </c>
      <c r="J5" s="13" t="s">
        <v>26</v>
      </c>
    </row>
    <row r="6" customFormat="false" ht="15" hidden="false" customHeight="false" outlineLevel="0" collapsed="false">
      <c r="A6" s="1" t="s">
        <v>29</v>
      </c>
      <c r="B6" s="1" t="s">
        <v>30</v>
      </c>
      <c r="C6" s="1" t="s">
        <v>23</v>
      </c>
      <c r="D6" s="1" t="s">
        <v>24</v>
      </c>
      <c r="E6" s="1" t="n">
        <v>20</v>
      </c>
      <c r="F6" s="1" t="n">
        <v>20</v>
      </c>
      <c r="G6" s="1" t="n">
        <v>0</v>
      </c>
      <c r="H6" s="12" t="n">
        <f aca="false">(F6/(F6+G6))</f>
        <v>1</v>
      </c>
      <c r="I6" s="13" t="s">
        <v>25</v>
      </c>
      <c r="J6" s="13" t="s">
        <v>26</v>
      </c>
    </row>
    <row r="7" customFormat="false" ht="15" hidden="false" customHeight="false" outlineLevel="0" collapsed="false">
      <c r="A7" s="1" t="s">
        <v>31</v>
      </c>
      <c r="B7" s="1" t="s">
        <v>32</v>
      </c>
      <c r="C7" s="1" t="s">
        <v>23</v>
      </c>
      <c r="D7" s="1" t="s">
        <v>24</v>
      </c>
      <c r="E7" s="1" t="n">
        <v>20</v>
      </c>
      <c r="F7" s="1" t="n">
        <v>20</v>
      </c>
      <c r="G7" s="1" t="n">
        <v>0</v>
      </c>
      <c r="H7" s="12" t="n">
        <f aca="false">(F7/(F7+G7))</f>
        <v>1</v>
      </c>
      <c r="I7" s="13" t="s">
        <v>25</v>
      </c>
      <c r="J7" s="13" t="s">
        <v>26</v>
      </c>
    </row>
    <row r="8" customFormat="false" ht="15" hidden="false" customHeight="false" outlineLevel="0" collapsed="false">
      <c r="A8" s="1" t="s">
        <v>33</v>
      </c>
      <c r="B8" s="1" t="s">
        <v>34</v>
      </c>
      <c r="C8" s="1" t="s">
        <v>23</v>
      </c>
      <c r="D8" s="1" t="s">
        <v>24</v>
      </c>
      <c r="E8" s="1" t="n">
        <v>20</v>
      </c>
      <c r="F8" s="1" t="n">
        <v>20</v>
      </c>
      <c r="G8" s="1" t="n">
        <v>0</v>
      </c>
      <c r="H8" s="12" t="n">
        <f aca="false">(F8/(F8+G8))</f>
        <v>1</v>
      </c>
      <c r="I8" s="13" t="s">
        <v>25</v>
      </c>
      <c r="J8" s="13" t="s">
        <v>26</v>
      </c>
    </row>
    <row r="9" customFormat="false" ht="15" hidden="false" customHeight="false" outlineLevel="0" collapsed="false">
      <c r="A9" s="1" t="s">
        <v>35</v>
      </c>
      <c r="B9" s="1" t="s">
        <v>36</v>
      </c>
      <c r="C9" s="1" t="s">
        <v>23</v>
      </c>
      <c r="D9" s="1" t="s">
        <v>24</v>
      </c>
      <c r="E9" s="1" t="n">
        <v>20</v>
      </c>
      <c r="F9" s="1" t="n">
        <v>20</v>
      </c>
      <c r="G9" s="1" t="n">
        <v>0</v>
      </c>
      <c r="H9" s="12" t="n">
        <f aca="false">(F9/(F9+G9))</f>
        <v>1</v>
      </c>
      <c r="I9" s="13" t="s">
        <v>25</v>
      </c>
      <c r="J9" s="13" t="s">
        <v>26</v>
      </c>
    </row>
    <row r="10" customFormat="false" ht="15" hidden="false" customHeight="false" outlineLevel="0" collapsed="false">
      <c r="H10" s="12"/>
    </row>
    <row r="11" customFormat="false" ht="15" hidden="false" customHeight="false" outlineLevel="0" collapsed="false">
      <c r="H11" s="12"/>
    </row>
    <row r="12" customFormat="false" ht="15" hidden="false" customHeight="false" outlineLevel="0" collapsed="false">
      <c r="H12" s="12"/>
    </row>
    <row r="13" customFormat="false" ht="15" hidden="false" customHeight="false" outlineLevel="0" collapsed="false">
      <c r="H13" s="12"/>
    </row>
    <row r="14" customFormat="false" ht="15" hidden="false" customHeight="false" outlineLevel="0" collapsed="false">
      <c r="H14" s="12"/>
    </row>
    <row r="15" customFormat="false" ht="15" hidden="false" customHeight="false" outlineLevel="0" collapsed="false">
      <c r="H15" s="12"/>
    </row>
    <row r="16" customFormat="false" ht="15" hidden="false" customHeight="false" outlineLevel="0" collapsed="false">
      <c r="H16" s="12"/>
    </row>
    <row r="17" customFormat="false" ht="15" hidden="false" customHeight="false" outlineLevel="0" collapsed="false">
      <c r="H17" s="12"/>
    </row>
    <row r="18" customFormat="false" ht="15" hidden="false" customHeight="false" outlineLevel="0" collapsed="false">
      <c r="H18" s="12"/>
    </row>
    <row r="19" customFormat="false" ht="15" hidden="false" customHeight="false" outlineLevel="0" collapsed="false">
      <c r="H19" s="12"/>
    </row>
    <row r="20" customFormat="false" ht="15" hidden="false" customHeight="false" outlineLevel="0" collapsed="false">
      <c r="H20" s="12"/>
    </row>
    <row r="21" customFormat="false" ht="15" hidden="false" customHeight="false" outlineLevel="0" collapsed="false">
      <c r="H21" s="12"/>
    </row>
    <row r="22" customFormat="false" ht="15" hidden="false" customHeight="false" outlineLevel="0" collapsed="false">
      <c r="H22" s="12"/>
    </row>
    <row r="23" customFormat="false" ht="15" hidden="false" customHeight="false" outlineLevel="0" collapsed="false">
      <c r="H23" s="12"/>
    </row>
    <row r="24" customFormat="false" ht="15" hidden="false" customHeight="false" outlineLevel="0" collapsed="false">
      <c r="H24" s="12"/>
    </row>
    <row r="25" customFormat="false" ht="15" hidden="false" customHeight="false" outlineLevel="0" collapsed="false">
      <c r="H25" s="12"/>
    </row>
    <row r="26" customFormat="false" ht="15" hidden="false" customHeight="false" outlineLevel="0" collapsed="false">
      <c r="H26" s="12"/>
    </row>
    <row r="27" customFormat="false" ht="15" hidden="false" customHeight="false" outlineLevel="0" collapsed="false">
      <c r="H27" s="12"/>
    </row>
    <row r="28" customFormat="false" ht="15" hidden="false" customHeight="false" outlineLevel="0" collapsed="false">
      <c r="H28" s="12"/>
    </row>
    <row r="29" customFormat="false" ht="15" hidden="false" customHeight="false" outlineLevel="0" collapsed="false">
      <c r="H29" s="12"/>
    </row>
    <row r="30" customFormat="false" ht="15" hidden="false" customHeight="false" outlineLevel="0" collapsed="false">
      <c r="H30" s="12"/>
    </row>
    <row r="31" customFormat="false" ht="15" hidden="false" customHeight="false" outlineLevel="0" collapsed="false">
      <c r="H31" s="12"/>
    </row>
    <row r="32" customFormat="false" ht="15" hidden="false" customHeight="false" outlineLevel="0" collapsed="false">
      <c r="H32" s="12"/>
    </row>
    <row r="33" customFormat="false" ht="15" hidden="false" customHeight="false" outlineLevel="0" collapsed="false">
      <c r="H33" s="12"/>
    </row>
    <row r="34" customFormat="false" ht="15" hidden="false" customHeight="false" outlineLevel="0" collapsed="false">
      <c r="H34" s="12"/>
    </row>
    <row r="35" customFormat="false" ht="15" hidden="false" customHeight="false" outlineLevel="0" collapsed="false">
      <c r="H35" s="12"/>
    </row>
    <row r="36" customFormat="false" ht="15" hidden="false" customHeight="false" outlineLevel="0" collapsed="false">
      <c r="H36" s="12"/>
    </row>
    <row r="37" customFormat="false" ht="15" hidden="false" customHeight="false" outlineLevel="0" collapsed="false">
      <c r="H37" s="12"/>
    </row>
    <row r="38" customFormat="false" ht="15" hidden="false" customHeight="false" outlineLevel="0" collapsed="false">
      <c r="H38" s="12"/>
    </row>
    <row r="39" customFormat="false" ht="15" hidden="false" customHeight="false" outlineLevel="0" collapsed="false">
      <c r="H39" s="12"/>
    </row>
    <row r="40" customFormat="false" ht="15" hidden="false" customHeight="false" outlineLevel="0" collapsed="false">
      <c r="H40" s="12"/>
    </row>
    <row r="41" customFormat="false" ht="15" hidden="false" customHeight="false" outlineLevel="0" collapsed="false">
      <c r="H41" s="12"/>
    </row>
    <row r="42" customFormat="false" ht="15" hidden="false" customHeight="false" outlineLevel="0" collapsed="false">
      <c r="H42" s="12"/>
    </row>
    <row r="43" customFormat="false" ht="15" hidden="false" customHeight="false" outlineLevel="0" collapsed="false">
      <c r="H43" s="12"/>
    </row>
    <row r="44" customFormat="false" ht="15" hidden="false" customHeight="false" outlineLevel="0" collapsed="false">
      <c r="H44" s="12"/>
    </row>
    <row r="45" customFormat="false" ht="15" hidden="false" customHeight="false" outlineLevel="0" collapsed="false">
      <c r="H45" s="12"/>
    </row>
    <row r="46" customFormat="false" ht="15" hidden="false" customHeight="false" outlineLevel="0" collapsed="false">
      <c r="H46" s="12"/>
    </row>
    <row r="47" customFormat="false" ht="15" hidden="false" customHeight="false" outlineLevel="0" collapsed="false">
      <c r="H47" s="12"/>
    </row>
    <row r="48" customFormat="false" ht="15" hidden="false" customHeight="false" outlineLevel="0" collapsed="false">
      <c r="H48" s="12"/>
    </row>
    <row r="49" customFormat="false" ht="15" hidden="false" customHeight="false" outlineLevel="0" collapsed="false">
      <c r="H49" s="12"/>
    </row>
    <row r="50" customFormat="false" ht="15" hidden="false" customHeight="false" outlineLevel="0" collapsed="false">
      <c r="H50" s="12"/>
    </row>
    <row r="51" customFormat="false" ht="15" hidden="false" customHeight="false" outlineLevel="0" collapsed="false">
      <c r="H51" s="12"/>
    </row>
    <row r="52" customFormat="false" ht="15" hidden="false" customHeight="false" outlineLevel="0" collapsed="false">
      <c r="H52" s="12"/>
    </row>
    <row r="53" customFormat="false" ht="15" hidden="false" customHeight="false" outlineLevel="0" collapsed="false">
      <c r="H53" s="12"/>
    </row>
    <row r="54" customFormat="false" ht="15" hidden="false" customHeight="false" outlineLevel="0" collapsed="false">
      <c r="H54" s="12"/>
    </row>
    <row r="55" customFormat="false" ht="15" hidden="false" customHeight="false" outlineLevel="0" collapsed="false">
      <c r="H55" s="12"/>
    </row>
    <row r="56" customFormat="false" ht="15" hidden="false" customHeight="false" outlineLevel="0" collapsed="false">
      <c r="H56" s="12"/>
    </row>
    <row r="57" customFormat="false" ht="15" hidden="false" customHeight="false" outlineLevel="0" collapsed="false">
      <c r="H57" s="12"/>
    </row>
    <row r="58" customFormat="false" ht="15" hidden="false" customHeight="false" outlineLevel="0" collapsed="false">
      <c r="H58" s="12"/>
    </row>
    <row r="59" customFormat="false" ht="15" hidden="false" customHeight="false" outlineLevel="0" collapsed="false">
      <c r="H59" s="12"/>
    </row>
    <row r="60" customFormat="false" ht="15" hidden="false" customHeight="false" outlineLevel="0" collapsed="false">
      <c r="H60" s="12"/>
    </row>
    <row r="61" customFormat="false" ht="15" hidden="false" customHeight="false" outlineLevel="0" collapsed="false">
      <c r="H61" s="12"/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78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37</v>
      </c>
      <c r="B1" s="11" t="s">
        <v>38</v>
      </c>
      <c r="C1" s="11" t="s">
        <v>39</v>
      </c>
      <c r="D1" s="11" t="s">
        <v>40</v>
      </c>
      <c r="E1" s="11" t="s">
        <v>41</v>
      </c>
    </row>
    <row r="2" customFormat="false" ht="15.75" hidden="false" customHeight="false" outlineLevel="0" collapsed="false">
      <c r="A2" s="1" t="n">
        <f aca="false">SUM('liste des taches'!E2:E312)</f>
        <v>135</v>
      </c>
      <c r="B2" s="1" t="n">
        <f aca="false">SUM('liste des taches'!F2:F312)</f>
        <v>125</v>
      </c>
      <c r="C2" s="1" t="n">
        <f aca="false">SUM('liste des taches'!G2:G312)</f>
        <v>0</v>
      </c>
      <c r="D2" s="12" t="n">
        <f aca="false">(B2/(B2+C2))</f>
        <v>1</v>
      </c>
      <c r="E2" s="14" t="n">
        <f aca="false">((B2+C2)-A2)/A2</f>
        <v>-0.0740740740740741</v>
      </c>
    </row>
    <row r="3" customFormat="false" ht="15.75" hidden="false" customHeight="false" outlineLevel="0" collapsed="false">
      <c r="C3" s="1" t="n">
        <f aca="false">C2/60</f>
        <v>0</v>
      </c>
      <c r="D3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2026-02-16T17:42:15Z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