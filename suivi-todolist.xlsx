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p" sheetId="1" state="visible" r:id="rId2"/>
    <sheet name="liste des taches" sheetId="2" state="visible" r:id="rId3"/>
    <sheet name="avancement projet" sheetId="3" state="visible" r:id="rId4"/>
    <sheet name="Feuil4" sheetId="4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<sst xmlns="http://schemas.openxmlformats.org/spreadsheetml/2006/main" count="388" uniqueCount="112">
  <si>
    <t xml:space="preserve">Qui</t>
  </si>
  <si>
    <t xml:space="preserve">Somme de Estimation</t>
  </si>
  <si>
    <t xml:space="preserve">(vide)</t>
  </si>
  <si>
    <t xml:space="preserve">Bryan</t>
  </si>
  <si>
    <t xml:space="preserve">Hasina</t>
  </si>
  <si>
    <t xml:space="preserve">Tsilavo</t>
  </si>
  <si>
    <t xml:space="preserve">Total Résultat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</si>
  <si>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</si>
  <si>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</si>
  <si>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</si>
  <si>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</si>
  <si>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</si>
  <si>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</si>
  <si>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</si>
  <si>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Avancement</t>
  </si>
  <si>
    <t xml:space="preserve">Status</t>
  </si>
  <si>
    <t xml:space="preserve">20260216-01-init-table.sql</t>
  </si>
  <si>
    <t xml:space="preserve">initiation des tables a utiliser</t>
  </si>
  <si>
    <t xml:space="preserve">Base</t>
  </si>
  <si>
    <t xml:space="preserve">ok</t>
  </si>
  <si>
    <t xml:space="preserve">20260216-02-insert.sql</t>
  </si>
  <si>
    <t xml:space="preserve">insertion des donnees</t>
  </si>
  <si>
    <t xml:space="preserve">modele</t>
  </si>
  <si>
    <t xml:space="preserve">modele.php</t>
  </si>
  <si>
    <t xml:space="preserve">Création html</t>
  </si>
  <si>
    <t xml:space="preserve">Affichage</t>
  </si>
  <si>
    <t xml:space="preserve">besoins</t>
  </si>
  <si>
    <t xml:space="preserve">VilleModel.php</t>
  </si>
  <si>
    <t xml:space="preserve">getAllVilles</t>
  </si>
  <si>
    <t xml:space="preserve">Fonction</t>
  </si>
  <si>
    <t xml:space="preserve">ProduitModel.php</t>
  </si>
  <si>
    <t xml:space="preserve">getAllProduits</t>
  </si>
  <si>
    <t xml:space="preserve">BesoinController.php</t>
  </si>
  <si>
    <t xml:space="preserve">getinfopourinsertion</t>
  </si>
  <si>
    <t xml:space="preserve">besoins.php</t>
  </si>
  <si>
    <t xml:space="preserve">Integration dynamique des produits et villes</t>
  </si>
  <si>
    <t xml:space="preserve">insertbesoin</t>
  </si>
  <si>
    <t xml:space="preserve">BesoinModel.php</t>
  </si>
  <si>
    <t xml:space="preserve">insererBesoin</t>
  </si>
  <si>
    <t xml:space="preserve">dons</t>
  </si>
  <si>
    <t xml:space="preserve">DonController.php</t>
  </si>
  <si>
    <t xml:space="preserve">dons.php</t>
  </si>
  <si>
    <t xml:space="preserve">Integration dynamique des produits</t>
  </si>
  <si>
    <t xml:space="preserve">insertdon</t>
  </si>
  <si>
    <t xml:space="preserve">DonModel.php</t>
  </si>
  <si>
    <t xml:space="preserve">insererDon</t>
  </si>
  <si>
    <t xml:space="preserve">distribution</t>
  </si>
  <si>
    <t xml:space="preserve">distribution.php</t>
  </si>
  <si>
    <t xml:space="preserve">20260216-03-distribution.sql</t>
  </si>
  <si>
    <t xml:space="preserve">avoir les dons par besoin par produit de chaque ville</t>
  </si>
  <si>
    <t xml:space="preserve">getAllDons</t>
  </si>
  <si>
    <t xml:space="preserve">fonction</t>
  </si>
  <si>
    <t xml:space="preserve">getAllBesoins</t>
  </si>
  <si>
    <t xml:space="preserve">clearSimulation</t>
  </si>
  <si>
    <t xml:space="preserve">insertSimulation</t>
  </si>
  <si>
    <t xml:space="preserve">calculerDistribution</t>
  </si>
  <si>
    <t xml:space="preserve">validerDistribution</t>
  </si>
  <si>
    <t xml:space="preserve">route.php</t>
  </si>
  <si>
    <t xml:space="preserve">/distribution</t>
  </si>
  <si>
    <t xml:space="preserve">route</t>
  </si>
  <si>
    <t xml:space="preserve">integration de distribution</t>
  </si>
  <si>
    <t xml:space="preserve">Integration</t>
  </si>
  <si>
    <t xml:space="preserve">simulation</t>
  </si>
  <si>
    <t xml:space="preserve">ajout des boutons simuler et visualiser</t>
  </si>
  <si>
    <t xml:space="preserve">dashboard</t>
  </si>
  <si>
    <t xml:space="preserve">dashboard.php</t>
  </si>
  <si>
    <t xml:space="preserve">ville.php</t>
  </si>
  <si>
    <t xml:space="preserve">20260217-01-view.sql</t>
  </si>
  <si>
    <t xml:space="preserve">vue pour besoin_categorie_ville et recu_categorie_ville</t>
  </si>
  <si>
    <t xml:space="preserve">getAllVillesWithRegion</t>
  </si>
  <si>
    <t xml:space="preserve">getStatsGlobales</t>
  </si>
  <si>
    <t xml:space="preserve">getDetailsBesoinsVille</t>
  </si>
  <si>
    <t xml:space="preserve">getVilleById</t>
  </si>
  <si>
    <t xml:space="preserve">VilleController.php</t>
  </si>
  <si>
    <t xml:space="preserve">index</t>
  </si>
  <si>
    <t xml:space="preserve">detail</t>
  </si>
  <si>
    <t xml:space="preserve">integration dynamique </t>
  </si>
  <si>
    <t xml:space="preserve">achat</t>
  </si>
  <si>
    <t xml:space="preserve">achats.php</t>
  </si>
  <si>
    <t xml:space="preserve">getBesoinById</t>
  </si>
  <si>
    <t xml:space="preserve">getDonsNatureRestants</t>
  </si>
  <si>
    <t xml:space="preserve">getArgentDisponible</t>
  </si>
  <si>
    <t xml:space="preserve">insererAchat</t>
  </si>
  <si>
    <t xml:space="preserve">getBesoinsRestants</t>
  </si>
  <si>
    <t xml:space="preserve">effectuerAchat</t>
  </si>
  <si>
    <t xml:space="preserve">recapitulation</t>
  </si>
  <si>
    <t xml:space="preserve">recapitulation.php</t>
  </si>
  <si>
    <t xml:space="preserve">getRecapMontants</t>
  </si>
  <si>
    <t xml:space="preserve">getRecapData</t>
  </si>
  <si>
    <t xml:space="preserve">produit</t>
  </si>
  <si>
    <t xml:space="preserve">produit.php</t>
  </si>
  <si>
    <t xml:space="preserve">integration dynamique de la categorie</t>
  </si>
  <si>
    <t xml:space="preserve">getAllCategories</t>
  </si>
  <si>
    <t xml:space="preserve">Creation des setters</t>
  </si>
  <si>
    <t xml:space="preserve">insererProduit</t>
  </si>
  <si>
    <t xml:space="preserve">ProduitController</t>
  </si>
  <si>
    <t xml:space="preserve">insertproduit</t>
  </si>
  <si>
    <t xml:space="preserve">Ajouter un bouton reinitialiser</t>
  </si>
  <si>
    <t xml:space="preserve">/clear appelle la fonction clearSimulation de DonModele</t>
  </si>
  <si>
    <t xml:space="preserve">Route</t>
  </si>
  <si>
    <t xml:space="preserve">mode</t>
  </si>
  <si>
    <t xml:space="preserve">Ajout d’un formulaire pour pouvoir changer de mode</t>
  </si>
  <si>
    <t xml:space="preserve">Modification de calculerDistribution</t>
  </si>
  <si>
    <t xml:space="preserve">Modification de validerDistribution</t>
  </si>
  <si>
    <t xml:space="preserve">getBesoinsParPetiteQuantite</t>
  </si>
  <si>
    <t xml:space="preserve">                                                               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</si>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</sst>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 %"/>
    <numFmt numFmtId="166" formatCode="0.00\ %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b val="true"/>
      <sz val="12"/>
      <color rgb="FF00000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6DCF8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Résultat de la table dynamique" xfId="23"/>
    <cellStyle name="Titre de la table dynamique" xfId="24"/>
    <cellStyle name="Valeur de la table dynamiq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6DCF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0" createdVersion="3">
  <cacheSource type="worksheet">
    <worksheetSource ref="A1:J182" sheet="liste des taches"/>
  </cacheSource>
  <cacheFields count="10">
    <cacheField name="Module" numFmtId="0">
      <sharedItems containsBlank="1" count="11">
        <s v="achat"/>
        <s v="besoins"/>
        <s v="dashboard"/>
        <s v="distribution"/>
        <s v="dons"/>
        <s v="mode"/>
        <s v="modele"/>
        <s v="produit"/>
        <s v="recapitulation"/>
        <s v="simulation"/>
        <m/>
      </sharedItems>
    </cacheField>
    <cacheField name="Nom page" numFmtId="0">
      <sharedItems containsBlank="1" count="23">
        <s v="20260216-01-init-table.sql"/>
        <s v="20260216-02-insert.sql"/>
        <s v="20260216-03-distribution.sql"/>
        <s v="20260217-01-view.sql"/>
        <s v="achats.php"/>
        <s v="BesoinController.php"/>
        <s v="BesoinModel.php"/>
        <s v="besoins.php"/>
        <s v="dashboard.php"/>
        <s v="distribution.php"/>
        <s v="DonController.php"/>
        <s v="DonModel.php"/>
        <s v="dons.php"/>
        <s v="modele.php"/>
        <s v="produit.php"/>
        <s v="ProduitController"/>
        <s v="ProduitModel.php"/>
        <s v="recapitulation.php"/>
        <s v="route.php"/>
        <s v="ville.php"/>
        <s v="VilleController.php"/>
        <s v="VilleModel.php"/>
        <m/>
      </sharedItems>
    </cacheField>
    <cacheField name="Description" numFmtId="0">
      <sharedItems containsBlank="1" count="49">
        <s v="/clear appelle la fonction clearSimulation de DonModele"/>
        <s v="/distribution"/>
        <s v="Ajout d’un formulaire pour pouvoir changer de mode"/>
        <s v="ajout des boutons simuler et visualiser"/>
        <s v="Ajouter un bouton reinitialiser"/>
        <s v="avoir les dons par besoin par produit de chaque ville"/>
        <s v="calculerDistribution"/>
        <s v="clearSimulation"/>
        <s v="Creation des setters"/>
        <s v="Création html"/>
        <s v="detail"/>
        <s v="effectuerAchat"/>
        <s v="getAllBesoins"/>
        <s v="getAllCategories"/>
        <s v="getAllDons"/>
        <s v="getAllProduits"/>
        <s v="getAllVilles"/>
        <s v="getAllVillesWithRegion"/>
        <s v="getArgentDisponible"/>
        <s v="getBesoinById"/>
        <s v="getBesoinsRestants"/>
        <s v="getDetailsBesoinsVille"/>
        <s v="getDonsNatureRestants"/>
        <s v="getinfopourinsertion"/>
        <s v="getRecapData"/>
        <s v="getRecapMontants"/>
        <s v="getStatsGlobales"/>
        <s v="getVilleById"/>
        <s v="index"/>
        <s v="initiation des tables a utiliser"/>
        <s v="insererAchat"/>
        <s v="insererBesoin"/>
        <s v="insererDon"/>
        <s v="insererProduit"/>
        <s v="insertbesoin"/>
        <s v="insertdon"/>
        <s v="insertion des donnees"/>
        <s v="insertproduit"/>
        <s v="insertSimulation"/>
        <s v="integration de distribution"/>
        <s v="integration dynamique "/>
        <s v="integration dynamique de la categorie"/>
        <s v="Integration dynamique des produits"/>
        <s v="Integration dynamique des produits et villes"/>
        <s v="Modification de calculerDistribution"/>
        <s v="Modification de validerDistribution"/>
        <s v="validerDistribution"/>
        <s v="vue pour besoin_categorie_ville et recu_categorie_ville"/>
        <m/>
      </sharedItems>
    </cacheField>
    <cacheField name="Type" numFmtId="0">
      <sharedItems containsBlank="1" count="6">
        <s v="Affichage"/>
        <s v="Base"/>
        <s v="fonction"/>
        <s v="Integration"/>
        <s v="route"/>
        <m/>
      </sharedItems>
    </cacheField>
    <cacheField name="Estimation" numFmtId="0">
      <sharedItems containsString="0" containsBlank="1" containsNumber="1" containsInteger="1" minValue="1" maxValue="40" count="11">
        <n v="1"/>
        <n v="2"/>
        <n v="3"/>
        <n v="4"/>
        <n v="5"/>
        <n v="10"/>
        <n v="15"/>
        <n v="20"/>
        <n v="30"/>
        <n v="40"/>
        <m/>
      </sharedItems>
    </cacheField>
    <cacheField name="Temps passé" numFmtId="0">
      <sharedItems containsString="0" containsBlank="1" containsNumber="1" containsInteger="1" minValue="1" maxValue="40" count="12">
        <n v="1"/>
        <n v="2"/>
        <n v="3"/>
        <n v="4"/>
        <n v="5"/>
        <n v="10"/>
        <n v="15"/>
        <n v="20"/>
        <n v="30"/>
        <n v="35"/>
        <n v="40"/>
        <m/>
      </sharedItems>
    </cacheField>
    <cacheField name="Reste à faire" numFmtId="0">
      <sharedItems containsString="0" containsBlank="1" containsNumber="1" containsInteger="1" minValue="0" maxValue="0" count="2">
        <n v="0"/>
        <m/>
      </sharedItems>
    </cacheField>
    <cacheField name="Avancement" numFmtId="0">
      <sharedItems containsString="0" containsBlank="1" containsNumber="1" containsInteger="1" minValue="1" maxValue="1" count="2">
        <n v="1"/>
        <m/>
      </sharedItems>
    </cacheField>
    <cacheField name="Qui" numFmtId="0">
      <sharedItems containsBlank="1" count="4">
        <s v="Bryan"/>
        <s v="Hasina"/>
        <s v="Tsilavo"/>
        <m/>
      </sharedItems>
    </cacheField>
    <cacheField name="Status" numFmtId="0">
      <sharedItems containsBlank="1" count="2">
        <s v="ok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0">
  <r>
    <x v="10"/>
    <x v="0"/>
    <x v="29"/>
    <x v="1"/>
    <x v="6"/>
    <x v="5"/>
    <x v="0"/>
    <x v="0"/>
    <x v="0"/>
    <x v="0"/>
  </r>
  <r>
    <x v="10"/>
    <x v="1"/>
    <x v="36"/>
    <x v="1"/>
    <x v="6"/>
    <x v="5"/>
    <x v="0"/>
    <x v="0"/>
    <x v="1"/>
    <x v="0"/>
  </r>
  <r>
    <x v="6"/>
    <x v="13"/>
    <x v="9"/>
    <x v="0"/>
    <x v="4"/>
    <x v="4"/>
    <x v="0"/>
    <x v="0"/>
    <x v="2"/>
    <x v="0"/>
  </r>
  <r>
    <x v="1"/>
    <x v="21"/>
    <x v="16"/>
    <x v="2"/>
    <x v="4"/>
    <x v="4"/>
    <x v="0"/>
    <x v="0"/>
    <x v="0"/>
    <x v="0"/>
  </r>
  <r>
    <x v="1"/>
    <x v="16"/>
    <x v="15"/>
    <x v="2"/>
    <x v="4"/>
    <x v="4"/>
    <x v="0"/>
    <x v="0"/>
    <x v="0"/>
    <x v="0"/>
  </r>
  <r>
    <x v="1"/>
    <x v="5"/>
    <x v="23"/>
    <x v="2"/>
    <x v="4"/>
    <x v="4"/>
    <x v="0"/>
    <x v="0"/>
    <x v="0"/>
    <x v="0"/>
  </r>
  <r>
    <x v="1"/>
    <x v="7"/>
    <x v="9"/>
    <x v="0"/>
    <x v="7"/>
    <x v="7"/>
    <x v="0"/>
    <x v="0"/>
    <x v="0"/>
    <x v="0"/>
  </r>
  <r>
    <x v="1"/>
    <x v="7"/>
    <x v="43"/>
    <x v="0"/>
    <x v="4"/>
    <x v="4"/>
    <x v="0"/>
    <x v="0"/>
    <x v="0"/>
    <x v="0"/>
  </r>
  <r>
    <x v="1"/>
    <x v="5"/>
    <x v="34"/>
    <x v="2"/>
    <x v="4"/>
    <x v="4"/>
    <x v="0"/>
    <x v="0"/>
    <x v="0"/>
    <x v="0"/>
  </r>
  <r>
    <x v="1"/>
    <x v="6"/>
    <x v="31"/>
    <x v="2"/>
    <x v="5"/>
    <x v="4"/>
    <x v="0"/>
    <x v="0"/>
    <x v="0"/>
    <x v="0"/>
  </r>
  <r>
    <x v="4"/>
    <x v="10"/>
    <x v="23"/>
    <x v="2"/>
    <x v="4"/>
    <x v="4"/>
    <x v="0"/>
    <x v="0"/>
    <x v="0"/>
    <x v="0"/>
  </r>
  <r>
    <x v="4"/>
    <x v="12"/>
    <x v="9"/>
    <x v="0"/>
    <x v="7"/>
    <x v="7"/>
    <x v="0"/>
    <x v="0"/>
    <x v="0"/>
    <x v="0"/>
  </r>
  <r>
    <x v="4"/>
    <x v="12"/>
    <x v="42"/>
    <x v="0"/>
    <x v="2"/>
    <x v="2"/>
    <x v="0"/>
    <x v="0"/>
    <x v="0"/>
    <x v="0"/>
  </r>
  <r>
    <x v="4"/>
    <x v="10"/>
    <x v="35"/>
    <x v="2"/>
    <x v="4"/>
    <x v="4"/>
    <x v="0"/>
    <x v="0"/>
    <x v="0"/>
    <x v="0"/>
  </r>
  <r>
    <x v="4"/>
    <x v="11"/>
    <x v="32"/>
    <x v="2"/>
    <x v="4"/>
    <x v="4"/>
    <x v="0"/>
    <x v="0"/>
    <x v="0"/>
    <x v="0"/>
  </r>
  <r>
    <x v="3"/>
    <x v="9"/>
    <x v="9"/>
    <x v="0"/>
    <x v="7"/>
    <x v="7"/>
    <x v="0"/>
    <x v="0"/>
    <x v="2"/>
    <x v="0"/>
  </r>
  <r>
    <x v="3"/>
    <x v="2"/>
    <x v="5"/>
    <x v="1"/>
    <x v="4"/>
    <x v="4"/>
    <x v="0"/>
    <x v="0"/>
    <x v="2"/>
    <x v="0"/>
  </r>
  <r>
    <x v="3"/>
    <x v="11"/>
    <x v="14"/>
    <x v="2"/>
    <x v="4"/>
    <x v="4"/>
    <x v="0"/>
    <x v="0"/>
    <x v="2"/>
    <x v="0"/>
  </r>
  <r>
    <x v="3"/>
    <x v="11"/>
    <x v="12"/>
    <x v="2"/>
    <x v="4"/>
    <x v="4"/>
    <x v="0"/>
    <x v="0"/>
    <x v="2"/>
    <x v="0"/>
  </r>
  <r>
    <x v="3"/>
    <x v="11"/>
    <x v="7"/>
    <x v="2"/>
    <x v="4"/>
    <x v="2"/>
    <x v="0"/>
    <x v="0"/>
    <x v="2"/>
    <x v="0"/>
  </r>
  <r>
    <x v="3"/>
    <x v="11"/>
    <x v="38"/>
    <x v="2"/>
    <x v="4"/>
    <x v="4"/>
    <x v="0"/>
    <x v="0"/>
    <x v="2"/>
    <x v="0"/>
  </r>
  <r>
    <x v="3"/>
    <x v="10"/>
    <x v="6"/>
    <x v="2"/>
    <x v="8"/>
    <x v="8"/>
    <x v="0"/>
    <x v="0"/>
    <x v="2"/>
    <x v="0"/>
  </r>
  <r>
    <x v="3"/>
    <x v="10"/>
    <x v="46"/>
    <x v="2"/>
    <x v="5"/>
    <x v="5"/>
    <x v="0"/>
    <x v="0"/>
    <x v="2"/>
    <x v="0"/>
  </r>
  <r>
    <x v="3"/>
    <x v="18"/>
    <x v="1"/>
    <x v="4"/>
    <x v="1"/>
    <x v="1"/>
    <x v="0"/>
    <x v="0"/>
    <x v="2"/>
    <x v="0"/>
  </r>
  <r>
    <x v="3"/>
    <x v="9"/>
    <x v="39"/>
    <x v="3"/>
    <x v="3"/>
    <x v="4"/>
    <x v="0"/>
    <x v="0"/>
    <x v="2"/>
    <x v="0"/>
  </r>
  <r>
    <x v="9"/>
    <x v="9"/>
    <x v="3"/>
    <x v="0"/>
    <x v="4"/>
    <x v="4"/>
    <x v="0"/>
    <x v="0"/>
    <x v="2"/>
    <x v="0"/>
  </r>
  <r>
    <x v="2"/>
    <x v="8"/>
    <x v="9"/>
    <x v="0"/>
    <x v="7"/>
    <x v="7"/>
    <x v="0"/>
    <x v="0"/>
    <x v="1"/>
    <x v="0"/>
  </r>
  <r>
    <x v="2"/>
    <x v="19"/>
    <x v="9"/>
    <x v="0"/>
    <x v="7"/>
    <x v="7"/>
    <x v="0"/>
    <x v="0"/>
    <x v="1"/>
    <x v="0"/>
  </r>
  <r>
    <x v="2"/>
    <x v="3"/>
    <x v="47"/>
    <x v="1"/>
    <x v="6"/>
    <x v="6"/>
    <x v="0"/>
    <x v="0"/>
    <x v="1"/>
    <x v="0"/>
  </r>
  <r>
    <x v="2"/>
    <x v="21"/>
    <x v="17"/>
    <x v="2"/>
    <x v="5"/>
    <x v="5"/>
    <x v="0"/>
    <x v="0"/>
    <x v="1"/>
    <x v="0"/>
  </r>
  <r>
    <x v="2"/>
    <x v="21"/>
    <x v="26"/>
    <x v="2"/>
    <x v="5"/>
    <x v="5"/>
    <x v="0"/>
    <x v="0"/>
    <x v="1"/>
    <x v="0"/>
  </r>
  <r>
    <x v="2"/>
    <x v="21"/>
    <x v="21"/>
    <x v="2"/>
    <x v="5"/>
    <x v="4"/>
    <x v="0"/>
    <x v="0"/>
    <x v="1"/>
    <x v="0"/>
  </r>
  <r>
    <x v="2"/>
    <x v="21"/>
    <x v="27"/>
    <x v="2"/>
    <x v="5"/>
    <x v="4"/>
    <x v="0"/>
    <x v="0"/>
    <x v="1"/>
    <x v="0"/>
  </r>
  <r>
    <x v="2"/>
    <x v="20"/>
    <x v="28"/>
    <x v="2"/>
    <x v="7"/>
    <x v="7"/>
    <x v="0"/>
    <x v="0"/>
    <x v="1"/>
    <x v="0"/>
  </r>
  <r>
    <x v="2"/>
    <x v="20"/>
    <x v="10"/>
    <x v="2"/>
    <x v="8"/>
    <x v="7"/>
    <x v="0"/>
    <x v="0"/>
    <x v="1"/>
    <x v="0"/>
  </r>
  <r>
    <x v="2"/>
    <x v="19"/>
    <x v="40"/>
    <x v="0"/>
    <x v="5"/>
    <x v="5"/>
    <x v="0"/>
    <x v="0"/>
    <x v="1"/>
    <x v="0"/>
  </r>
  <r>
    <x v="0"/>
    <x v="4"/>
    <x v="9"/>
    <x v="0"/>
    <x v="8"/>
    <x v="10"/>
    <x v="0"/>
    <x v="0"/>
    <x v="0"/>
    <x v="0"/>
  </r>
  <r>
    <x v="0"/>
    <x v="4"/>
    <x v="40"/>
    <x v="0"/>
    <x v="9"/>
    <x v="10"/>
    <x v="0"/>
    <x v="0"/>
    <x v="0"/>
    <x v="0"/>
  </r>
  <r>
    <x v="0"/>
    <x v="11"/>
    <x v="19"/>
    <x v="2"/>
    <x v="5"/>
    <x v="6"/>
    <x v="0"/>
    <x v="0"/>
    <x v="0"/>
    <x v="0"/>
  </r>
  <r>
    <x v="0"/>
    <x v="11"/>
    <x v="22"/>
    <x v="2"/>
    <x v="7"/>
    <x v="7"/>
    <x v="0"/>
    <x v="0"/>
    <x v="0"/>
    <x v="0"/>
  </r>
  <r>
    <x v="0"/>
    <x v="11"/>
    <x v="18"/>
    <x v="2"/>
    <x v="7"/>
    <x v="8"/>
    <x v="0"/>
    <x v="0"/>
    <x v="0"/>
    <x v="0"/>
  </r>
  <r>
    <x v="0"/>
    <x v="11"/>
    <x v="30"/>
    <x v="2"/>
    <x v="4"/>
    <x v="4"/>
    <x v="0"/>
    <x v="0"/>
    <x v="0"/>
    <x v="0"/>
  </r>
  <r>
    <x v="0"/>
    <x v="10"/>
    <x v="20"/>
    <x v="2"/>
    <x v="2"/>
    <x v="2"/>
    <x v="0"/>
    <x v="0"/>
    <x v="0"/>
    <x v="0"/>
  </r>
  <r>
    <x v="0"/>
    <x v="10"/>
    <x v="11"/>
    <x v="2"/>
    <x v="8"/>
    <x v="9"/>
    <x v="0"/>
    <x v="0"/>
    <x v="0"/>
    <x v="0"/>
  </r>
  <r>
    <x v="8"/>
    <x v="17"/>
    <x v="9"/>
    <x v="0"/>
    <x v="8"/>
    <x v="8"/>
    <x v="0"/>
    <x v="0"/>
    <x v="1"/>
    <x v="0"/>
  </r>
  <r>
    <x v="8"/>
    <x v="17"/>
    <x v="40"/>
    <x v="0"/>
    <x v="8"/>
    <x v="9"/>
    <x v="0"/>
    <x v="0"/>
    <x v="1"/>
    <x v="0"/>
  </r>
  <r>
    <x v="8"/>
    <x v="11"/>
    <x v="25"/>
    <x v="2"/>
    <x v="8"/>
    <x v="7"/>
    <x v="0"/>
    <x v="0"/>
    <x v="1"/>
    <x v="0"/>
  </r>
  <r>
    <x v="8"/>
    <x v="10"/>
    <x v="24"/>
    <x v="2"/>
    <x v="1"/>
    <x v="1"/>
    <x v="0"/>
    <x v="0"/>
    <x v="1"/>
    <x v="0"/>
  </r>
  <r>
    <x v="7"/>
    <x v="14"/>
    <x v="9"/>
    <x v="0"/>
    <x v="1"/>
    <x v="1"/>
    <x v="0"/>
    <x v="0"/>
    <x v="2"/>
    <x v="0"/>
  </r>
  <r>
    <x v="7"/>
    <x v="14"/>
    <x v="41"/>
    <x v="0"/>
    <x v="1"/>
    <x v="1"/>
    <x v="0"/>
    <x v="0"/>
    <x v="2"/>
    <x v="0"/>
  </r>
  <r>
    <x v="7"/>
    <x v="16"/>
    <x v="13"/>
    <x v="2"/>
    <x v="1"/>
    <x v="1"/>
    <x v="0"/>
    <x v="0"/>
    <x v="2"/>
    <x v="0"/>
  </r>
  <r>
    <x v="7"/>
    <x v="16"/>
    <x v="8"/>
    <x v="2"/>
    <x v="4"/>
    <x v="3"/>
    <x v="0"/>
    <x v="0"/>
    <x v="2"/>
    <x v="0"/>
  </r>
  <r>
    <x v="7"/>
    <x v="16"/>
    <x v="33"/>
    <x v="2"/>
    <x v="4"/>
    <x v="4"/>
    <x v="0"/>
    <x v="0"/>
    <x v="2"/>
    <x v="0"/>
  </r>
  <r>
    <x v="7"/>
    <x v="15"/>
    <x v="23"/>
    <x v="2"/>
    <x v="4"/>
    <x v="4"/>
    <x v="0"/>
    <x v="0"/>
    <x v="2"/>
    <x v="0"/>
  </r>
  <r>
    <x v="7"/>
    <x v="15"/>
    <x v="37"/>
    <x v="2"/>
    <x v="4"/>
    <x v="4"/>
    <x v="0"/>
    <x v="0"/>
    <x v="2"/>
    <x v="0"/>
  </r>
  <r>
    <x v="9"/>
    <x v="9"/>
    <x v="4"/>
    <x v="0"/>
    <x v="0"/>
    <x v="0"/>
    <x v="0"/>
    <x v="0"/>
    <x v="0"/>
    <x v="0"/>
  </r>
  <r>
    <x v="9"/>
    <x v="18"/>
    <x v="0"/>
    <x v="4"/>
    <x v="0"/>
    <x v="0"/>
    <x v="0"/>
    <x v="0"/>
    <x v="0"/>
    <x v="0"/>
  </r>
  <r>
    <x v="5"/>
    <x v="9"/>
    <x v="2"/>
    <x v="0"/>
    <x v="1"/>
    <x v="1"/>
    <x v="0"/>
    <x v="0"/>
    <x v="2"/>
    <x v="0"/>
  </r>
  <r>
    <x v="5"/>
    <x v="10"/>
    <x v="44"/>
    <x v="2"/>
    <x v="7"/>
    <x v="7"/>
    <x v="0"/>
    <x v="0"/>
    <x v="2"/>
    <x v="0"/>
  </r>
  <r>
    <x v="5"/>
    <x v="10"/>
    <x v="45"/>
    <x v="2"/>
    <x v="5"/>
    <x v="5"/>
    <x v="0"/>
    <x v="0"/>
    <x v="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eau croisé dynamique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8" firstHeaderRow="1" firstDataRow="1" firstDataCol="1"/>
  <pivotFields count="10"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axis="axisRow" compact="0" showAll="0">
      <items count="5">
        <item x="3"/>
        <item x="0"/>
        <item x="1"/>
        <item x="2"/>
        <item t="default"/>
      </items>
    </pivotField>
    <pivotField compact="0" showAll="0"/>
  </pivotFields>
  <rowFields count="1">
    <field x="8"/>
  </rowFields>
  <dataFields count="1">
    <dataField name="Somme de Estimation" fld="4" subtotal="sum" numFmtId="164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58203125" defaultRowHeight="15.7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9.5"/>
  </cols>
  <sheetData>
    <row r="3" customFormat="false" ht="15.75" hidden="false" customHeight="false" outlineLevel="0" collapsed="false">
      <c r="A3" s="2" t="s">
        <v>0</v>
      </c>
      <c r="B3" s="3" t="s">
        <v>1</v>
      </c>
    </row>
    <row r="4" customFormat="false" ht="15.75" hidden="false" customHeight="false" outlineLevel="0" collapsed="false">
      <c r="A4" s="4" t="s">
        <v>2</v>
      </c>
      <c r="B4" s="5"/>
    </row>
    <row r="5" customFormat="false" ht="15.75" hidden="false" customHeight="false" outlineLevel="0" collapsed="false">
      <c r="A5" s="6" t="s">
        <v>3</v>
      </c>
      <c r="B5" s="7" t="n">
        <v>268</v>
      </c>
    </row>
    <row r="6" customFormat="false" ht="15.75" hidden="false" customHeight="false" outlineLevel="0" collapsed="false">
      <c r="A6" s="6" t="s">
        <v>4</v>
      </c>
      <c r="B6" s="7" t="n">
        <v>262</v>
      </c>
    </row>
    <row r="7" customFormat="false" ht="15.75" hidden="false" customHeight="false" outlineLevel="0" collapsed="false">
      <c r="A7" s="6" t="s">
        <v>5</v>
      </c>
      <c r="B7" s="8" t="n">
        <v>159</v>
      </c>
    </row>
    <row r="8" customFormat="false" ht="15.75" hidden="false" customHeight="false" outlineLevel="0" collapsed="false">
      <c r="A8" s="9" t="s">
        <v>6</v>
      </c>
      <c r="B8" s="10" t="n">
        <v>689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41" colorId="64" zoomScale="100" zoomScaleNormal="100" zoomScalePageLayoutView="100" workbookViewId="0">
      <selection pane="topLeft" activeCell="B65" activeCellId="0" sqref="B65"/>
    </sheetView>
  </sheetViews>
  <sheetFormatPr defaultColWidth="10.58203125" defaultRowHeight="15.7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1" width="24.94"/>
    <col collapsed="false" customWidth="true" hidden="false" outlineLevel="0" max="3" min="3" style="1" width="48"/>
    <col collapsed="false" customWidth="true" hidden="false" outlineLevel="0" max="4" min="4" style="1" width="12.2"/>
    <col collapsed="false" customWidth="true" hidden="false" outlineLevel="0" max="8" min="6" style="1" width="12"/>
    <col collapsed="false" customWidth="true" hidden="false" outlineLevel="0" max="9" min="9" style="1" width="7.83"/>
  </cols>
  <sheetData>
    <row r="1" customFormat="false" ht="15.75" hidden="false" customHeight="false" outlineLevel="0" collapsed="false">
      <c r="A1" s="11" t="s">
        <v>7</v>
      </c>
      <c r="B1" s="11" t="s">
        <v>8</v>
      </c>
      <c r="C1" s="11" t="s">
        <v>9</v>
      </c>
      <c r="D1" s="11" t="s">
        <v>10</v>
      </c>
      <c r="E1" s="11" t="s">
        <v>11</v>
      </c>
      <c r="F1" s="11" t="s">
        <v>12</v>
      </c>
      <c r="G1" s="11" t="s">
        <v>13</v>
      </c>
      <c r="H1" s="11" t="s">
        <v>14</v>
      </c>
      <c r="I1" s="11" t="s">
        <v>0</v>
      </c>
      <c r="J1" s="11" t="s">
        <v>15</v>
      </c>
    </row>
    <row r="2" customFormat="false" ht="15" hidden="false" customHeight="false" outlineLevel="0" collapsed="false">
      <c r="B2" s="1" t="s">
        <v>16</v>
      </c>
      <c r="C2" s="1" t="s">
        <v>17</v>
      </c>
      <c r="D2" s="1" t="s">
        <v>18</v>
      </c>
      <c r="E2" s="0" t="n">
        <v>15</v>
      </c>
      <c r="F2" s="1" t="n">
        <v>10</v>
      </c>
      <c r="G2" s="1" t="n">
        <v>0</v>
      </c>
      <c r="H2" s="12" t="n">
        <f aca="false">(F2/(F2+G2))</f>
        <v>1</v>
      </c>
      <c r="I2" s="1" t="s">
        <v>3</v>
      </c>
      <c r="J2" s="0" t="s">
        <v>19</v>
      </c>
    </row>
    <row r="3" customFormat="false" ht="15" hidden="false" customHeight="false" outlineLevel="0" collapsed="false">
      <c r="B3" s="1" t="s">
        <v>20</v>
      </c>
      <c r="C3" s="1" t="s">
        <v>21</v>
      </c>
      <c r="D3" s="1" t="s">
        <v>18</v>
      </c>
      <c r="E3" s="0" t="n">
        <v>15</v>
      </c>
      <c r="F3" s="1" t="n">
        <v>10</v>
      </c>
      <c r="G3" s="1" t="n">
        <v>0</v>
      </c>
      <c r="H3" s="12" t="n">
        <f aca="false">(F3/(F3+G3))</f>
        <v>1</v>
      </c>
      <c r="I3" s="1" t="s">
        <v>4</v>
      </c>
      <c r="J3" s="0" t="s">
        <v>19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25</v>
      </c>
      <c r="E4" s="1" t="n">
        <v>5</v>
      </c>
      <c r="F4" s="1" t="n">
        <v>5</v>
      </c>
      <c r="G4" s="1" t="n">
        <v>0</v>
      </c>
      <c r="H4" s="12" t="n">
        <f aca="false">(F4/(F4+G4))</f>
        <v>1</v>
      </c>
      <c r="I4" s="13" t="s">
        <v>5</v>
      </c>
      <c r="J4" s="13" t="s">
        <v>19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28</v>
      </c>
      <c r="D5" s="0" t="s">
        <v>29</v>
      </c>
      <c r="E5" s="1" t="n">
        <v>5</v>
      </c>
      <c r="F5" s="1" t="n">
        <v>5</v>
      </c>
      <c r="G5" s="1" t="n">
        <v>0</v>
      </c>
      <c r="H5" s="12" t="n">
        <f aca="false">(F5/(F5+G5))</f>
        <v>1</v>
      </c>
      <c r="I5" s="13" t="s">
        <v>3</v>
      </c>
      <c r="J5" s="13" t="s">
        <v>19</v>
      </c>
    </row>
    <row r="6" customFormat="false" ht="15" hidden="false" customHeight="false" outlineLevel="0" collapsed="false">
      <c r="A6" s="1" t="s">
        <v>26</v>
      </c>
      <c r="B6" s="1" t="s">
        <v>30</v>
      </c>
      <c r="C6" s="1" t="s">
        <v>31</v>
      </c>
      <c r="D6" s="1" t="s">
        <v>29</v>
      </c>
      <c r="E6" s="0" t="n">
        <v>5</v>
      </c>
      <c r="F6" s="1" t="n">
        <v>5</v>
      </c>
      <c r="G6" s="1" t="n">
        <v>0</v>
      </c>
      <c r="H6" s="12" t="n">
        <f aca="false">(F6/(F6+G6))</f>
        <v>1</v>
      </c>
      <c r="I6" s="1" t="s">
        <v>3</v>
      </c>
      <c r="J6" s="0" t="s">
        <v>19</v>
      </c>
    </row>
    <row r="7" customFormat="false" ht="15" hidden="false" customHeight="false" outlineLevel="0" collapsed="false">
      <c r="A7" s="1" t="s">
        <v>26</v>
      </c>
      <c r="B7" s="1" t="s">
        <v>32</v>
      </c>
      <c r="C7" s="1" t="s">
        <v>33</v>
      </c>
      <c r="D7" s="1" t="s">
        <v>29</v>
      </c>
      <c r="E7" s="0" t="n">
        <v>5</v>
      </c>
      <c r="F7" s="1" t="n">
        <v>5</v>
      </c>
      <c r="G7" s="1" t="n">
        <v>0</v>
      </c>
      <c r="H7" s="12" t="n">
        <f aca="false">(F7/(F7+G7))</f>
        <v>1</v>
      </c>
      <c r="I7" s="1" t="s">
        <v>3</v>
      </c>
      <c r="J7" s="0" t="s">
        <v>19</v>
      </c>
    </row>
    <row r="8" customFormat="false" ht="15" hidden="false" customHeight="false" outlineLevel="0" collapsed="false">
      <c r="A8" s="1" t="s">
        <v>26</v>
      </c>
      <c r="B8" s="1" t="s">
        <v>34</v>
      </c>
      <c r="C8" s="1" t="s">
        <v>24</v>
      </c>
      <c r="D8" s="1" t="s">
        <v>25</v>
      </c>
      <c r="E8" s="0" t="n">
        <v>20</v>
      </c>
      <c r="F8" s="1" t="n">
        <v>20</v>
      </c>
      <c r="G8" s="1" t="n">
        <v>0</v>
      </c>
      <c r="H8" s="12" t="n">
        <f aca="false">(F8/(F8+G8))</f>
        <v>1</v>
      </c>
      <c r="I8" s="1" t="s">
        <v>3</v>
      </c>
      <c r="J8" s="0" t="s">
        <v>19</v>
      </c>
    </row>
    <row r="9" customFormat="false" ht="15" hidden="false" customHeight="false" outlineLevel="0" collapsed="false">
      <c r="A9" s="1" t="s">
        <v>26</v>
      </c>
      <c r="B9" s="1" t="s">
        <v>34</v>
      </c>
      <c r="C9" s="1" t="s">
        <v>35</v>
      </c>
      <c r="D9" s="1" t="s">
        <v>25</v>
      </c>
      <c r="E9" s="0" t="n">
        <v>5</v>
      </c>
      <c r="F9" s="1" t="n">
        <v>5</v>
      </c>
      <c r="G9" s="1" t="n">
        <v>0</v>
      </c>
      <c r="H9" s="12" t="n">
        <f aca="false">(F9/(F9+G9))</f>
        <v>1</v>
      </c>
      <c r="I9" s="1" t="s">
        <v>3</v>
      </c>
      <c r="J9" s="0" t="s">
        <v>19</v>
      </c>
    </row>
    <row r="10" customFormat="false" ht="15" hidden="false" customHeight="false" outlineLevel="0" collapsed="false">
      <c r="A10" s="1" t="s">
        <v>26</v>
      </c>
      <c r="B10" s="1" t="s">
        <v>32</v>
      </c>
      <c r="C10" s="1" t="s">
        <v>36</v>
      </c>
      <c r="D10" s="1" t="s">
        <v>29</v>
      </c>
      <c r="E10" s="0" t="n">
        <v>5</v>
      </c>
      <c r="F10" s="1" t="n">
        <v>5</v>
      </c>
      <c r="G10" s="1" t="n">
        <v>0</v>
      </c>
      <c r="H10" s="12" t="n">
        <f aca="false">(F10/(F10+G10))</f>
        <v>1</v>
      </c>
      <c r="I10" s="1" t="s">
        <v>3</v>
      </c>
      <c r="J10" s="0" t="s">
        <v>19</v>
      </c>
    </row>
    <row r="11" customFormat="false" ht="15" hidden="false" customHeight="false" outlineLevel="0" collapsed="false">
      <c r="A11" s="1" t="s">
        <v>26</v>
      </c>
      <c r="B11" s="1" t="s">
        <v>37</v>
      </c>
      <c r="C11" s="1" t="s">
        <v>38</v>
      </c>
      <c r="D11" s="1" t="s">
        <v>29</v>
      </c>
      <c r="E11" s="0" t="n">
        <v>10</v>
      </c>
      <c r="F11" s="1" t="n">
        <v>5</v>
      </c>
      <c r="G11" s="1" t="n">
        <v>0</v>
      </c>
      <c r="H11" s="12" t="n">
        <f aca="false">(F11/(F11+G11))</f>
        <v>1</v>
      </c>
      <c r="I11" s="1" t="s">
        <v>3</v>
      </c>
      <c r="J11" s="0" t="s">
        <v>19</v>
      </c>
    </row>
    <row r="12" customFormat="false" ht="15" hidden="false" customHeight="false" outlineLevel="0" collapsed="false">
      <c r="A12" s="1" t="s">
        <v>39</v>
      </c>
      <c r="B12" s="1" t="s">
        <v>40</v>
      </c>
      <c r="C12" s="1" t="s">
        <v>33</v>
      </c>
      <c r="D12" s="1" t="s">
        <v>29</v>
      </c>
      <c r="E12" s="0" t="n">
        <v>5</v>
      </c>
      <c r="F12" s="1" t="n">
        <v>5</v>
      </c>
      <c r="G12" s="1" t="n">
        <v>0</v>
      </c>
      <c r="H12" s="12" t="n">
        <f aca="false">(F12/(F12+G12))</f>
        <v>1</v>
      </c>
      <c r="I12" s="1" t="s">
        <v>3</v>
      </c>
      <c r="J12" s="0" t="s">
        <v>19</v>
      </c>
    </row>
    <row r="13" customFormat="false" ht="15" hidden="false" customHeight="false" outlineLevel="0" collapsed="false">
      <c r="A13" s="1" t="s">
        <v>39</v>
      </c>
      <c r="B13" s="1" t="s">
        <v>41</v>
      </c>
      <c r="C13" s="1" t="s">
        <v>24</v>
      </c>
      <c r="D13" s="1" t="s">
        <v>25</v>
      </c>
      <c r="E13" s="0" t="n">
        <v>20</v>
      </c>
      <c r="F13" s="1" t="n">
        <v>20</v>
      </c>
      <c r="G13" s="1" t="n">
        <v>0</v>
      </c>
      <c r="H13" s="12" t="n">
        <f aca="false">(F13/(F13+G13))</f>
        <v>1</v>
      </c>
      <c r="I13" s="1" t="s">
        <v>3</v>
      </c>
      <c r="J13" s="0" t="s">
        <v>19</v>
      </c>
    </row>
    <row r="14" customFormat="false" ht="15" hidden="false" customHeight="false" outlineLevel="0" collapsed="false">
      <c r="A14" s="1" t="s">
        <v>39</v>
      </c>
      <c r="B14" s="1" t="s">
        <v>41</v>
      </c>
      <c r="C14" s="1" t="s">
        <v>42</v>
      </c>
      <c r="D14" s="1" t="s">
        <v>25</v>
      </c>
      <c r="E14" s="0" t="n">
        <v>3</v>
      </c>
      <c r="F14" s="1" t="n">
        <v>3</v>
      </c>
      <c r="G14" s="1" t="n">
        <v>0</v>
      </c>
      <c r="H14" s="12" t="n">
        <f aca="false">(F14/(F14+G14))</f>
        <v>1</v>
      </c>
      <c r="I14" s="1" t="s">
        <v>3</v>
      </c>
      <c r="J14" s="0" t="s">
        <v>19</v>
      </c>
    </row>
    <row r="15" customFormat="false" ht="15" hidden="false" customHeight="false" outlineLevel="0" collapsed="false">
      <c r="A15" s="1" t="s">
        <v>39</v>
      </c>
      <c r="B15" s="1" t="s">
        <v>40</v>
      </c>
      <c r="C15" s="1" t="s">
        <v>43</v>
      </c>
      <c r="D15" s="1" t="s">
        <v>29</v>
      </c>
      <c r="E15" s="0" t="n">
        <v>5</v>
      </c>
      <c r="F15" s="1" t="n">
        <v>5</v>
      </c>
      <c r="G15" s="1" t="n">
        <v>0</v>
      </c>
      <c r="H15" s="12" t="n">
        <f aca="false">(F15/(F15+G15))</f>
        <v>1</v>
      </c>
      <c r="I15" s="1" t="s">
        <v>3</v>
      </c>
      <c r="J15" s="0" t="s">
        <v>19</v>
      </c>
    </row>
    <row r="16" customFormat="false" ht="15" hidden="false" customHeight="false" outlineLevel="0" collapsed="false">
      <c r="A16" s="1" t="s">
        <v>39</v>
      </c>
      <c r="B16" s="1" t="s">
        <v>44</v>
      </c>
      <c r="C16" s="1" t="s">
        <v>45</v>
      </c>
      <c r="D16" s="1" t="s">
        <v>29</v>
      </c>
      <c r="E16" s="0" t="n">
        <v>5</v>
      </c>
      <c r="F16" s="1" t="n">
        <v>5</v>
      </c>
      <c r="G16" s="1" t="n">
        <v>0</v>
      </c>
      <c r="H16" s="12" t="n">
        <f aca="false">(F16/(F16+G16))</f>
        <v>1</v>
      </c>
      <c r="I16" s="1" t="s">
        <v>3</v>
      </c>
      <c r="J16" s="0" t="s">
        <v>19</v>
      </c>
    </row>
    <row r="17" customFormat="false" ht="15" hidden="false" customHeight="false" outlineLevel="0" collapsed="false">
      <c r="A17" s="1" t="s">
        <v>46</v>
      </c>
      <c r="B17" s="1" t="s">
        <v>47</v>
      </c>
      <c r="C17" s="1" t="s">
        <v>24</v>
      </c>
      <c r="D17" s="1" t="s">
        <v>25</v>
      </c>
      <c r="E17" s="1" t="n">
        <v>20</v>
      </c>
      <c r="F17" s="1" t="n">
        <v>20</v>
      </c>
      <c r="G17" s="1" t="n">
        <v>0</v>
      </c>
      <c r="H17" s="12" t="n">
        <f aca="false">(F17/(F17+G17))</f>
        <v>1</v>
      </c>
      <c r="I17" s="13" t="s">
        <v>5</v>
      </c>
      <c r="J17" s="13" t="s">
        <v>19</v>
      </c>
    </row>
    <row r="18" customFormat="false" ht="15" hidden="false" customHeight="false" outlineLevel="0" collapsed="false">
      <c r="A18" s="1" t="s">
        <v>46</v>
      </c>
      <c r="B18" s="1" t="s">
        <v>48</v>
      </c>
      <c r="C18" s="1" t="s">
        <v>49</v>
      </c>
      <c r="D18" s="1" t="s">
        <v>18</v>
      </c>
      <c r="E18" s="0" t="n">
        <v>5</v>
      </c>
      <c r="F18" s="1" t="n">
        <v>5</v>
      </c>
      <c r="G18" s="1" t="n">
        <v>0</v>
      </c>
      <c r="H18" s="12" t="n">
        <f aca="false">(F18/(F18+G18))</f>
        <v>1</v>
      </c>
      <c r="I18" s="1" t="s">
        <v>5</v>
      </c>
      <c r="J18" s="0" t="s">
        <v>19</v>
      </c>
    </row>
    <row r="19" customFormat="false" ht="15" hidden="false" customHeight="false" outlineLevel="0" collapsed="false">
      <c r="A19" s="1" t="s">
        <v>46</v>
      </c>
      <c r="B19" s="1" t="s">
        <v>44</v>
      </c>
      <c r="C19" s="1" t="s">
        <v>50</v>
      </c>
      <c r="D19" s="1" t="s">
        <v>51</v>
      </c>
      <c r="E19" s="0" t="n">
        <v>5</v>
      </c>
      <c r="F19" s="1" t="n">
        <v>5</v>
      </c>
      <c r="G19" s="1" t="n">
        <v>0</v>
      </c>
      <c r="H19" s="12" t="n">
        <f aca="false">(F19/(F19+G19))</f>
        <v>1</v>
      </c>
      <c r="I19" s="1" t="s">
        <v>5</v>
      </c>
      <c r="J19" s="0" t="s">
        <v>19</v>
      </c>
    </row>
    <row r="20" customFormat="false" ht="15" hidden="false" customHeight="false" outlineLevel="0" collapsed="false">
      <c r="A20" s="1" t="s">
        <v>46</v>
      </c>
      <c r="B20" s="1" t="s">
        <v>44</v>
      </c>
      <c r="C20" s="1" t="s">
        <v>52</v>
      </c>
      <c r="D20" s="1" t="s">
        <v>51</v>
      </c>
      <c r="E20" s="0" t="n">
        <v>5</v>
      </c>
      <c r="F20" s="1" t="n">
        <v>5</v>
      </c>
      <c r="G20" s="1" t="n">
        <v>0</v>
      </c>
      <c r="H20" s="12" t="n">
        <f aca="false">(F20/(F20+G20))</f>
        <v>1</v>
      </c>
      <c r="I20" s="1" t="s">
        <v>5</v>
      </c>
      <c r="J20" s="0" t="s">
        <v>19</v>
      </c>
    </row>
    <row r="21" customFormat="false" ht="15" hidden="false" customHeight="false" outlineLevel="0" collapsed="false">
      <c r="A21" s="1" t="s">
        <v>46</v>
      </c>
      <c r="B21" s="1" t="s">
        <v>44</v>
      </c>
      <c r="C21" s="1" t="s">
        <v>53</v>
      </c>
      <c r="D21" s="1" t="s">
        <v>51</v>
      </c>
      <c r="E21" s="0" t="n">
        <v>5</v>
      </c>
      <c r="F21" s="1" t="n">
        <v>3</v>
      </c>
      <c r="G21" s="1" t="n">
        <v>0</v>
      </c>
      <c r="H21" s="12" t="n">
        <f aca="false">(F21/(F21+G21))</f>
        <v>1</v>
      </c>
      <c r="I21" s="1" t="s">
        <v>5</v>
      </c>
      <c r="J21" s="0" t="s">
        <v>19</v>
      </c>
    </row>
    <row r="22" customFormat="false" ht="15" hidden="false" customHeight="false" outlineLevel="0" collapsed="false">
      <c r="A22" s="1" t="s">
        <v>46</v>
      </c>
      <c r="B22" s="1" t="s">
        <v>44</v>
      </c>
      <c r="C22" s="1" t="s">
        <v>54</v>
      </c>
      <c r="D22" s="1" t="s">
        <v>51</v>
      </c>
      <c r="E22" s="0" t="n">
        <v>5</v>
      </c>
      <c r="F22" s="1" t="n">
        <v>5</v>
      </c>
      <c r="G22" s="1" t="n">
        <v>0</v>
      </c>
      <c r="H22" s="12" t="n">
        <f aca="false">(F22/(F22+G22))</f>
        <v>1</v>
      </c>
      <c r="I22" s="1" t="s">
        <v>5</v>
      </c>
      <c r="J22" s="0" t="s">
        <v>19</v>
      </c>
    </row>
    <row r="23" customFormat="false" ht="15" hidden="false" customHeight="false" outlineLevel="0" collapsed="false">
      <c r="A23" s="1" t="s">
        <v>46</v>
      </c>
      <c r="B23" s="1" t="s">
        <v>40</v>
      </c>
      <c r="C23" s="1" t="s">
        <v>55</v>
      </c>
      <c r="D23" s="1" t="s">
        <v>51</v>
      </c>
      <c r="E23" s="0" t="n">
        <v>30</v>
      </c>
      <c r="F23" s="1" t="n">
        <v>30</v>
      </c>
      <c r="G23" s="1" t="n">
        <v>0</v>
      </c>
      <c r="H23" s="12" t="n">
        <f aca="false">(F23/(F23+G23))</f>
        <v>1</v>
      </c>
      <c r="I23" s="1" t="s">
        <v>5</v>
      </c>
      <c r="J23" s="0" t="s">
        <v>19</v>
      </c>
    </row>
    <row r="24" customFormat="false" ht="15" hidden="false" customHeight="false" outlineLevel="0" collapsed="false">
      <c r="A24" s="1" t="s">
        <v>46</v>
      </c>
      <c r="B24" s="1" t="s">
        <v>40</v>
      </c>
      <c r="C24" s="1" t="s">
        <v>56</v>
      </c>
      <c r="D24" s="1" t="s">
        <v>51</v>
      </c>
      <c r="E24" s="0" t="n">
        <v>10</v>
      </c>
      <c r="F24" s="1" t="n">
        <v>10</v>
      </c>
      <c r="G24" s="1" t="n">
        <v>0</v>
      </c>
      <c r="H24" s="12" t="n">
        <f aca="false">(F24/(F24+G24))</f>
        <v>1</v>
      </c>
      <c r="I24" s="1" t="s">
        <v>5</v>
      </c>
      <c r="J24" s="0" t="s">
        <v>19</v>
      </c>
    </row>
    <row r="25" customFormat="false" ht="15" hidden="false" customHeight="false" outlineLevel="0" collapsed="false">
      <c r="A25" s="1" t="s">
        <v>46</v>
      </c>
      <c r="B25" s="1" t="s">
        <v>57</v>
      </c>
      <c r="C25" s="1" t="s">
        <v>58</v>
      </c>
      <c r="D25" s="1" t="s">
        <v>59</v>
      </c>
      <c r="E25" s="0" t="n">
        <v>2</v>
      </c>
      <c r="F25" s="1" t="n">
        <v>2</v>
      </c>
      <c r="G25" s="1" t="n">
        <v>0</v>
      </c>
      <c r="H25" s="12" t="n">
        <f aca="false">(F25/(F25+G25))</f>
        <v>1</v>
      </c>
      <c r="I25" s="1" t="s">
        <v>5</v>
      </c>
      <c r="J25" s="0" t="s">
        <v>19</v>
      </c>
    </row>
    <row r="26" customFormat="false" ht="15" hidden="false" customHeight="false" outlineLevel="0" collapsed="false">
      <c r="A26" s="1" t="s">
        <v>46</v>
      </c>
      <c r="B26" s="1" t="s">
        <v>47</v>
      </c>
      <c r="C26" s="1" t="s">
        <v>60</v>
      </c>
      <c r="D26" s="1" t="s">
        <v>61</v>
      </c>
      <c r="E26" s="0" t="n">
        <v>4</v>
      </c>
      <c r="F26" s="1" t="n">
        <v>5</v>
      </c>
      <c r="G26" s="1" t="n">
        <v>0</v>
      </c>
      <c r="H26" s="12" t="n">
        <f aca="false">(F26/(F26+G26))</f>
        <v>1</v>
      </c>
      <c r="I26" s="1" t="s">
        <v>5</v>
      </c>
      <c r="J26" s="0" t="s">
        <v>19</v>
      </c>
    </row>
    <row r="27" customFormat="false" ht="15" hidden="false" customHeight="false" outlineLevel="0" collapsed="false">
      <c r="A27" s="1" t="s">
        <v>62</v>
      </c>
      <c r="B27" s="1" t="s">
        <v>47</v>
      </c>
      <c r="C27" s="1" t="s">
        <v>63</v>
      </c>
      <c r="D27" s="1" t="s">
        <v>25</v>
      </c>
      <c r="E27" s="0" t="n">
        <v>5</v>
      </c>
      <c r="F27" s="1" t="n">
        <v>5</v>
      </c>
      <c r="G27" s="1" t="n">
        <v>0</v>
      </c>
      <c r="H27" s="12" t="n">
        <f aca="false">(F27/(F27+G27))</f>
        <v>1</v>
      </c>
      <c r="I27" s="1" t="s">
        <v>5</v>
      </c>
      <c r="J27" s="0" t="s">
        <v>19</v>
      </c>
    </row>
    <row r="28" customFormat="false" ht="15" hidden="false" customHeight="false" outlineLevel="0" collapsed="false">
      <c r="A28" s="1" t="s">
        <v>64</v>
      </c>
      <c r="B28" s="1" t="s">
        <v>65</v>
      </c>
      <c r="C28" s="1" t="s">
        <v>24</v>
      </c>
      <c r="D28" s="1" t="s">
        <v>25</v>
      </c>
      <c r="E28" s="1" t="n">
        <v>20</v>
      </c>
      <c r="F28" s="1" t="n">
        <v>20</v>
      </c>
      <c r="G28" s="1" t="n">
        <v>0</v>
      </c>
      <c r="H28" s="12" t="n">
        <f aca="false">(F28/(F28+G28))</f>
        <v>1</v>
      </c>
      <c r="I28" s="13" t="s">
        <v>4</v>
      </c>
      <c r="J28" s="13" t="s">
        <v>19</v>
      </c>
    </row>
    <row r="29" customFormat="false" ht="15" hidden="false" customHeight="false" outlineLevel="0" collapsed="false">
      <c r="A29" s="1" t="s">
        <v>64</v>
      </c>
      <c r="B29" s="1" t="s">
        <v>66</v>
      </c>
      <c r="C29" s="1" t="s">
        <v>24</v>
      </c>
      <c r="D29" s="1" t="s">
        <v>25</v>
      </c>
      <c r="E29" s="1" t="n">
        <v>20</v>
      </c>
      <c r="F29" s="1" t="n">
        <v>20</v>
      </c>
      <c r="G29" s="1" t="n">
        <v>0</v>
      </c>
      <c r="H29" s="12" t="n">
        <f aca="false">(F29/(F29+G29))</f>
        <v>1</v>
      </c>
      <c r="I29" s="13" t="s">
        <v>4</v>
      </c>
      <c r="J29" s="13" t="s">
        <v>19</v>
      </c>
    </row>
    <row r="30" customFormat="false" ht="15" hidden="false" customHeight="false" outlineLevel="0" collapsed="false">
      <c r="A30" s="1" t="s">
        <v>64</v>
      </c>
      <c r="B30" s="1" t="s">
        <v>67</v>
      </c>
      <c r="C30" s="1" t="s">
        <v>68</v>
      </c>
      <c r="D30" s="1" t="s">
        <v>18</v>
      </c>
      <c r="E30" s="0" t="n">
        <v>15</v>
      </c>
      <c r="F30" s="1" t="n">
        <v>15</v>
      </c>
      <c r="G30" s="1" t="n">
        <v>0</v>
      </c>
      <c r="H30" s="12" t="n">
        <f aca="false">(F30/(F30+G30))</f>
        <v>1</v>
      </c>
      <c r="I30" s="13" t="s">
        <v>4</v>
      </c>
      <c r="J30" s="13" t="s">
        <v>19</v>
      </c>
    </row>
    <row r="31" customFormat="false" ht="15" hidden="false" customHeight="false" outlineLevel="0" collapsed="false">
      <c r="A31" s="1" t="s">
        <v>64</v>
      </c>
      <c r="B31" s="1" t="s">
        <v>27</v>
      </c>
      <c r="C31" s="1" t="s">
        <v>69</v>
      </c>
      <c r="D31" s="1" t="s">
        <v>51</v>
      </c>
      <c r="E31" s="0" t="n">
        <v>10</v>
      </c>
      <c r="F31" s="1" t="n">
        <v>10</v>
      </c>
      <c r="G31" s="1" t="n">
        <v>0</v>
      </c>
      <c r="H31" s="12" t="n">
        <f aca="false">(F31/(F31+G31))</f>
        <v>1</v>
      </c>
      <c r="I31" s="13" t="s">
        <v>4</v>
      </c>
      <c r="J31" s="13" t="s">
        <v>19</v>
      </c>
    </row>
    <row r="32" customFormat="false" ht="15" hidden="false" customHeight="false" outlineLevel="0" collapsed="false">
      <c r="A32" s="1" t="s">
        <v>64</v>
      </c>
      <c r="B32" s="1" t="s">
        <v>27</v>
      </c>
      <c r="C32" s="1" t="s">
        <v>70</v>
      </c>
      <c r="D32" s="1" t="s">
        <v>51</v>
      </c>
      <c r="E32" s="0" t="n">
        <v>10</v>
      </c>
      <c r="F32" s="1" t="n">
        <v>10</v>
      </c>
      <c r="G32" s="1" t="n">
        <v>0</v>
      </c>
      <c r="H32" s="12" t="n">
        <f aca="false">(F32/(F32+G32))</f>
        <v>1</v>
      </c>
      <c r="I32" s="13" t="s">
        <v>4</v>
      </c>
      <c r="J32" s="13" t="s">
        <v>19</v>
      </c>
    </row>
    <row r="33" customFormat="false" ht="15" hidden="false" customHeight="false" outlineLevel="0" collapsed="false">
      <c r="A33" s="1" t="s">
        <v>64</v>
      </c>
      <c r="B33" s="1" t="s">
        <v>27</v>
      </c>
      <c r="C33" s="1" t="s">
        <v>71</v>
      </c>
      <c r="D33" s="1" t="s">
        <v>51</v>
      </c>
      <c r="E33" s="0" t="n">
        <v>10</v>
      </c>
      <c r="F33" s="1" t="n">
        <v>5</v>
      </c>
      <c r="G33" s="1" t="n">
        <v>0</v>
      </c>
      <c r="H33" s="12" t="n">
        <f aca="false">(F33/(F33+G33))</f>
        <v>1</v>
      </c>
      <c r="I33" s="13" t="s">
        <v>4</v>
      </c>
      <c r="J33" s="13" t="s">
        <v>19</v>
      </c>
    </row>
    <row r="34" customFormat="false" ht="15" hidden="false" customHeight="false" outlineLevel="0" collapsed="false">
      <c r="A34" s="1" t="s">
        <v>64</v>
      </c>
      <c r="B34" s="1" t="s">
        <v>27</v>
      </c>
      <c r="C34" s="1" t="s">
        <v>72</v>
      </c>
      <c r="D34" s="1" t="s">
        <v>51</v>
      </c>
      <c r="E34" s="0" t="n">
        <v>10</v>
      </c>
      <c r="F34" s="1" t="n">
        <v>5</v>
      </c>
      <c r="G34" s="1" t="n">
        <v>0</v>
      </c>
      <c r="H34" s="12" t="n">
        <f aca="false">(F34/(F34+G34))</f>
        <v>1</v>
      </c>
      <c r="I34" s="13" t="s">
        <v>4</v>
      </c>
      <c r="J34" s="13" t="s">
        <v>19</v>
      </c>
    </row>
    <row r="35" customFormat="false" ht="15" hidden="false" customHeight="false" outlineLevel="0" collapsed="false">
      <c r="A35" s="1" t="s">
        <v>64</v>
      </c>
      <c r="B35" s="1" t="s">
        <v>73</v>
      </c>
      <c r="C35" s="1" t="s">
        <v>74</v>
      </c>
      <c r="D35" s="1" t="s">
        <v>51</v>
      </c>
      <c r="E35" s="0" t="n">
        <v>20</v>
      </c>
      <c r="F35" s="1" t="n">
        <v>20</v>
      </c>
      <c r="G35" s="1" t="n">
        <v>0</v>
      </c>
      <c r="H35" s="12" t="n">
        <f aca="false">(F35/(F35+G35))</f>
        <v>1</v>
      </c>
      <c r="I35" s="13" t="s">
        <v>4</v>
      </c>
      <c r="J35" s="13" t="s">
        <v>19</v>
      </c>
    </row>
    <row r="36" customFormat="false" ht="15" hidden="false" customHeight="false" outlineLevel="0" collapsed="false">
      <c r="A36" s="1" t="s">
        <v>64</v>
      </c>
      <c r="B36" s="1" t="s">
        <v>73</v>
      </c>
      <c r="C36" s="1" t="s">
        <v>75</v>
      </c>
      <c r="D36" s="1" t="s">
        <v>51</v>
      </c>
      <c r="E36" s="0" t="n">
        <v>30</v>
      </c>
      <c r="F36" s="1" t="n">
        <v>20</v>
      </c>
      <c r="G36" s="1" t="n">
        <v>0</v>
      </c>
      <c r="H36" s="12" t="n">
        <f aca="false">(F36/(F36+G36))</f>
        <v>1</v>
      </c>
      <c r="I36" s="13" t="s">
        <v>4</v>
      </c>
      <c r="J36" s="13" t="s">
        <v>19</v>
      </c>
    </row>
    <row r="37" customFormat="false" ht="15" hidden="false" customHeight="false" outlineLevel="0" collapsed="false">
      <c r="A37" s="0" t="s">
        <v>64</v>
      </c>
      <c r="B37" s="0" t="s">
        <v>66</v>
      </c>
      <c r="C37" s="0" t="s">
        <v>76</v>
      </c>
      <c r="D37" s="0" t="s">
        <v>25</v>
      </c>
      <c r="E37" s="0" t="n">
        <v>10</v>
      </c>
      <c r="F37" s="0" t="n">
        <v>10</v>
      </c>
      <c r="G37" s="0" t="n">
        <v>0</v>
      </c>
      <c r="H37" s="12" t="n">
        <f aca="false">(F37/(F37+G37))</f>
        <v>1</v>
      </c>
      <c r="I37" s="13" t="s">
        <v>4</v>
      </c>
      <c r="J37" s="13" t="s">
        <v>19</v>
      </c>
    </row>
    <row r="38" customFormat="false" ht="15" hidden="false" customHeight="false" outlineLevel="0" collapsed="false">
      <c r="A38" s="1" t="s">
        <v>77</v>
      </c>
      <c r="B38" s="1" t="s">
        <v>78</v>
      </c>
      <c r="C38" s="1" t="s">
        <v>24</v>
      </c>
      <c r="D38" s="1" t="s">
        <v>25</v>
      </c>
      <c r="E38" s="0" t="n">
        <v>30</v>
      </c>
      <c r="F38" s="1" t="n">
        <v>40</v>
      </c>
      <c r="G38" s="1" t="n">
        <v>0</v>
      </c>
      <c r="H38" s="12" t="n">
        <f aca="false">(F38/(F38+G38))</f>
        <v>1</v>
      </c>
      <c r="I38" s="1" t="s">
        <v>3</v>
      </c>
      <c r="J38" s="0" t="s">
        <v>19</v>
      </c>
    </row>
    <row r="39" customFormat="false" ht="15" hidden="false" customHeight="false" outlineLevel="0" collapsed="false">
      <c r="A39" s="1" t="s">
        <v>77</v>
      </c>
      <c r="B39" s="1" t="s">
        <v>78</v>
      </c>
      <c r="C39" s="1" t="s">
        <v>76</v>
      </c>
      <c r="D39" s="1" t="s">
        <v>25</v>
      </c>
      <c r="E39" s="0" t="n">
        <v>40</v>
      </c>
      <c r="F39" s="1" t="n">
        <v>40</v>
      </c>
      <c r="G39" s="1" t="n">
        <v>0</v>
      </c>
      <c r="H39" s="12" t="n">
        <f aca="false">(F39/(F39+G39))</f>
        <v>1</v>
      </c>
      <c r="I39" s="1" t="s">
        <v>3</v>
      </c>
      <c r="J39" s="0" t="s">
        <v>19</v>
      </c>
    </row>
    <row r="40" customFormat="false" ht="15" hidden="false" customHeight="false" outlineLevel="0" collapsed="false">
      <c r="A40" s="1" t="s">
        <v>77</v>
      </c>
      <c r="B40" s="1" t="s">
        <v>44</v>
      </c>
      <c r="C40" s="1" t="s">
        <v>79</v>
      </c>
      <c r="D40" s="1" t="s">
        <v>51</v>
      </c>
      <c r="E40" s="0" t="n">
        <v>10</v>
      </c>
      <c r="F40" s="1" t="n">
        <v>15</v>
      </c>
      <c r="G40" s="1" t="n">
        <v>0</v>
      </c>
      <c r="H40" s="12" t="n">
        <f aca="false">(F40/(F40+G40))</f>
        <v>1</v>
      </c>
      <c r="I40" s="1" t="s">
        <v>3</v>
      </c>
      <c r="J40" s="0" t="s">
        <v>19</v>
      </c>
    </row>
    <row r="41" customFormat="false" ht="15" hidden="false" customHeight="false" outlineLevel="0" collapsed="false">
      <c r="A41" s="1" t="s">
        <v>77</v>
      </c>
      <c r="B41" s="1" t="s">
        <v>44</v>
      </c>
      <c r="C41" s="1" t="s">
        <v>80</v>
      </c>
      <c r="D41" s="1" t="s">
        <v>51</v>
      </c>
      <c r="E41" s="0" t="n">
        <v>20</v>
      </c>
      <c r="F41" s="1" t="n">
        <v>20</v>
      </c>
      <c r="G41" s="1" t="n">
        <v>0</v>
      </c>
      <c r="H41" s="12" t="n">
        <f aca="false">(F41/(F41+G41))</f>
        <v>1</v>
      </c>
      <c r="I41" s="1" t="s">
        <v>3</v>
      </c>
      <c r="J41" s="0" t="s">
        <v>19</v>
      </c>
    </row>
    <row r="42" customFormat="false" ht="15" hidden="false" customHeight="false" outlineLevel="0" collapsed="false">
      <c r="A42" s="1" t="s">
        <v>77</v>
      </c>
      <c r="B42" s="1" t="s">
        <v>44</v>
      </c>
      <c r="C42" s="1" t="s">
        <v>81</v>
      </c>
      <c r="D42" s="1" t="s">
        <v>51</v>
      </c>
      <c r="E42" s="0" t="n">
        <v>20</v>
      </c>
      <c r="F42" s="1" t="n">
        <v>30</v>
      </c>
      <c r="G42" s="1" t="n">
        <v>0</v>
      </c>
      <c r="H42" s="12" t="n">
        <f aca="false">(F42/(F42+G42))</f>
        <v>1</v>
      </c>
      <c r="I42" s="1" t="s">
        <v>3</v>
      </c>
      <c r="J42" s="0" t="s">
        <v>19</v>
      </c>
    </row>
    <row r="43" customFormat="false" ht="15" hidden="false" customHeight="false" outlineLevel="0" collapsed="false">
      <c r="A43" s="1" t="s">
        <v>77</v>
      </c>
      <c r="B43" s="1" t="s">
        <v>44</v>
      </c>
      <c r="C43" s="1" t="s">
        <v>82</v>
      </c>
      <c r="D43" s="1" t="s">
        <v>51</v>
      </c>
      <c r="E43" s="0" t="n">
        <v>5</v>
      </c>
      <c r="F43" s="1" t="n">
        <v>5</v>
      </c>
      <c r="G43" s="1" t="n">
        <v>0</v>
      </c>
      <c r="H43" s="12" t="n">
        <f aca="false">(F43/(F43+G43))</f>
        <v>1</v>
      </c>
      <c r="I43" s="1" t="s">
        <v>3</v>
      </c>
      <c r="J43" s="0" t="s">
        <v>19</v>
      </c>
    </row>
    <row r="44" customFormat="false" ht="15" hidden="false" customHeight="false" outlineLevel="0" collapsed="false">
      <c r="A44" s="1" t="s">
        <v>77</v>
      </c>
      <c r="B44" s="1" t="s">
        <v>40</v>
      </c>
      <c r="C44" s="1" t="s">
        <v>83</v>
      </c>
      <c r="D44" s="1" t="s">
        <v>51</v>
      </c>
      <c r="E44" s="0" t="n">
        <v>3</v>
      </c>
      <c r="F44" s="1" t="n">
        <v>3</v>
      </c>
      <c r="G44" s="1" t="n">
        <v>0</v>
      </c>
      <c r="H44" s="12" t="n">
        <f aca="false">(F44/(F44+G44))</f>
        <v>1</v>
      </c>
      <c r="I44" s="1" t="s">
        <v>3</v>
      </c>
      <c r="J44" s="0" t="s">
        <v>19</v>
      </c>
    </row>
    <row r="45" customFormat="false" ht="15" hidden="false" customHeight="false" outlineLevel="0" collapsed="false">
      <c r="A45" s="1" t="s">
        <v>77</v>
      </c>
      <c r="B45" s="1" t="s">
        <v>40</v>
      </c>
      <c r="C45" s="1" t="s">
        <v>84</v>
      </c>
      <c r="D45" s="1" t="s">
        <v>51</v>
      </c>
      <c r="E45" s="0" t="n">
        <v>30</v>
      </c>
      <c r="F45" s="1" t="n">
        <v>35</v>
      </c>
      <c r="G45" s="1" t="n">
        <v>0</v>
      </c>
      <c r="H45" s="12" t="n">
        <f aca="false">(F45/(F45+G45))</f>
        <v>1</v>
      </c>
      <c r="I45" s="1" t="s">
        <v>3</v>
      </c>
      <c r="J45" s="0" t="s">
        <v>19</v>
      </c>
    </row>
    <row r="46" customFormat="false" ht="15" hidden="false" customHeight="false" outlineLevel="0" collapsed="false">
      <c r="A46" s="0" t="s">
        <v>85</v>
      </c>
      <c r="B46" s="0" t="s">
        <v>86</v>
      </c>
      <c r="C46" s="0" t="s">
        <v>24</v>
      </c>
      <c r="D46" s="0" t="s">
        <v>25</v>
      </c>
      <c r="E46" s="0" t="n">
        <v>30</v>
      </c>
      <c r="F46" s="0" t="n">
        <v>30</v>
      </c>
      <c r="G46" s="0" t="n">
        <v>0</v>
      </c>
      <c r="H46" s="12" t="n">
        <f aca="false">(F46/(F46+G46))</f>
        <v>1</v>
      </c>
      <c r="I46" s="0" t="s">
        <v>4</v>
      </c>
      <c r="J46" s="0" t="s">
        <v>19</v>
      </c>
    </row>
    <row r="47" customFormat="false" ht="15" hidden="false" customHeight="false" outlineLevel="0" collapsed="false">
      <c r="A47" s="1" t="s">
        <v>85</v>
      </c>
      <c r="B47" s="1" t="s">
        <v>86</v>
      </c>
      <c r="C47" s="1" t="s">
        <v>76</v>
      </c>
      <c r="D47" s="1" t="s">
        <v>25</v>
      </c>
      <c r="E47" s="0" t="n">
        <v>30</v>
      </c>
      <c r="F47" s="1" t="n">
        <v>35</v>
      </c>
      <c r="G47" s="1" t="n">
        <v>0</v>
      </c>
      <c r="H47" s="12" t="n">
        <f aca="false">(F47/(F47+G47))</f>
        <v>1</v>
      </c>
      <c r="I47" s="0" t="s">
        <v>4</v>
      </c>
      <c r="J47" s="0" t="s">
        <v>19</v>
      </c>
    </row>
    <row r="48" customFormat="false" ht="15" hidden="false" customHeight="false" outlineLevel="0" collapsed="false">
      <c r="A48" s="1" t="s">
        <v>85</v>
      </c>
      <c r="B48" s="1" t="s">
        <v>44</v>
      </c>
      <c r="C48" s="1" t="s">
        <v>87</v>
      </c>
      <c r="D48" s="1" t="s">
        <v>51</v>
      </c>
      <c r="E48" s="0" t="n">
        <v>30</v>
      </c>
      <c r="F48" s="1" t="n">
        <v>20</v>
      </c>
      <c r="G48" s="1" t="n">
        <v>0</v>
      </c>
      <c r="H48" s="12" t="n">
        <f aca="false">(F48/(F48+G48))</f>
        <v>1</v>
      </c>
      <c r="I48" s="0" t="s">
        <v>4</v>
      </c>
      <c r="J48" s="0" t="s">
        <v>19</v>
      </c>
    </row>
    <row r="49" customFormat="false" ht="15" hidden="false" customHeight="false" outlineLevel="0" collapsed="false">
      <c r="A49" s="1" t="s">
        <v>85</v>
      </c>
      <c r="B49" s="1" t="s">
        <v>40</v>
      </c>
      <c r="C49" s="1" t="s">
        <v>88</v>
      </c>
      <c r="D49" s="1" t="s">
        <v>51</v>
      </c>
      <c r="E49" s="0" t="n">
        <v>2</v>
      </c>
      <c r="F49" s="1" t="n">
        <v>2</v>
      </c>
      <c r="G49" s="1" t="n">
        <v>0</v>
      </c>
      <c r="H49" s="12" t="n">
        <f aca="false">(F49/(F49+G49))</f>
        <v>1</v>
      </c>
      <c r="I49" s="0" t="s">
        <v>4</v>
      </c>
      <c r="J49" s="0" t="s">
        <v>19</v>
      </c>
    </row>
    <row r="50" customFormat="false" ht="15" hidden="false" customHeight="false" outlineLevel="0" collapsed="false">
      <c r="A50" s="1" t="s">
        <v>89</v>
      </c>
      <c r="B50" s="1" t="s">
        <v>90</v>
      </c>
      <c r="C50" s="1" t="s">
        <v>24</v>
      </c>
      <c r="D50" s="1" t="s">
        <v>25</v>
      </c>
      <c r="E50" s="0" t="n">
        <v>2</v>
      </c>
      <c r="F50" s="1" t="n">
        <v>2</v>
      </c>
      <c r="G50" s="1" t="n">
        <v>0</v>
      </c>
      <c r="H50" s="12" t="n">
        <f aca="false">(F50/(F50+G50))</f>
        <v>1</v>
      </c>
      <c r="I50" s="1" t="s">
        <v>5</v>
      </c>
      <c r="J50" s="0" t="s">
        <v>19</v>
      </c>
    </row>
    <row r="51" customFormat="false" ht="15" hidden="false" customHeight="false" outlineLevel="0" collapsed="false">
      <c r="A51" s="1" t="s">
        <v>89</v>
      </c>
      <c r="B51" s="1" t="s">
        <v>90</v>
      </c>
      <c r="C51" s="1" t="s">
        <v>91</v>
      </c>
      <c r="D51" s="1" t="s">
        <v>25</v>
      </c>
      <c r="E51" s="0" t="n">
        <v>2</v>
      </c>
      <c r="F51" s="1" t="n">
        <v>2</v>
      </c>
      <c r="G51" s="1" t="n">
        <v>0</v>
      </c>
      <c r="H51" s="12" t="n">
        <f aca="false">(F51/(F51+G51))</f>
        <v>1</v>
      </c>
      <c r="I51" s="1" t="s">
        <v>5</v>
      </c>
      <c r="J51" s="0" t="s">
        <v>19</v>
      </c>
    </row>
    <row r="52" customFormat="false" ht="15" hidden="false" customHeight="false" outlineLevel="0" collapsed="false">
      <c r="A52" s="1" t="s">
        <v>89</v>
      </c>
      <c r="B52" s="1" t="s">
        <v>30</v>
      </c>
      <c r="C52" s="1" t="s">
        <v>92</v>
      </c>
      <c r="D52" s="1" t="s">
        <v>51</v>
      </c>
      <c r="E52" s="0" t="n">
        <v>2</v>
      </c>
      <c r="F52" s="1" t="n">
        <v>2</v>
      </c>
      <c r="G52" s="1" t="n">
        <v>0</v>
      </c>
      <c r="H52" s="12" t="n">
        <f aca="false">(F52/(F52+G52))</f>
        <v>1</v>
      </c>
      <c r="I52" s="1" t="s">
        <v>5</v>
      </c>
      <c r="J52" s="0" t="s">
        <v>19</v>
      </c>
    </row>
    <row r="53" customFormat="false" ht="15" hidden="false" customHeight="false" outlineLevel="0" collapsed="false">
      <c r="A53" s="1" t="s">
        <v>89</v>
      </c>
      <c r="B53" s="1" t="s">
        <v>30</v>
      </c>
      <c r="C53" s="1" t="s">
        <v>93</v>
      </c>
      <c r="D53" s="1" t="s">
        <v>51</v>
      </c>
      <c r="E53" s="0" t="n">
        <v>5</v>
      </c>
      <c r="F53" s="1" t="n">
        <v>4</v>
      </c>
      <c r="G53" s="1" t="n">
        <v>0</v>
      </c>
      <c r="H53" s="12" t="n">
        <f aca="false">(F53/(F53+G53))</f>
        <v>1</v>
      </c>
      <c r="I53" s="1" t="s">
        <v>5</v>
      </c>
      <c r="J53" s="0" t="s">
        <v>19</v>
      </c>
    </row>
    <row r="54" customFormat="false" ht="15" hidden="false" customHeight="false" outlineLevel="0" collapsed="false">
      <c r="A54" s="1" t="s">
        <v>89</v>
      </c>
      <c r="B54" s="1" t="s">
        <v>30</v>
      </c>
      <c r="C54" s="1" t="s">
        <v>94</v>
      </c>
      <c r="D54" s="1" t="s">
        <v>51</v>
      </c>
      <c r="E54" s="0" t="n">
        <v>5</v>
      </c>
      <c r="F54" s="1" t="n">
        <v>5</v>
      </c>
      <c r="G54" s="1" t="n">
        <v>0</v>
      </c>
      <c r="H54" s="12" t="n">
        <f aca="false">(F54/(F54+G54))</f>
        <v>1</v>
      </c>
      <c r="I54" s="1" t="s">
        <v>5</v>
      </c>
      <c r="J54" s="0" t="s">
        <v>19</v>
      </c>
    </row>
    <row r="55" customFormat="false" ht="15" hidden="false" customHeight="false" outlineLevel="0" collapsed="false">
      <c r="A55" s="1" t="s">
        <v>89</v>
      </c>
      <c r="B55" s="1" t="s">
        <v>95</v>
      </c>
      <c r="C55" s="1" t="s">
        <v>33</v>
      </c>
      <c r="D55" s="1" t="s">
        <v>51</v>
      </c>
      <c r="E55" s="0" t="n">
        <v>5</v>
      </c>
      <c r="F55" s="1" t="n">
        <v>5</v>
      </c>
      <c r="G55" s="1" t="n">
        <v>0</v>
      </c>
      <c r="H55" s="12" t="n">
        <f aca="false">(F55/(F55+G55))</f>
        <v>1</v>
      </c>
      <c r="I55" s="1" t="s">
        <v>5</v>
      </c>
      <c r="J55" s="0" t="s">
        <v>19</v>
      </c>
    </row>
    <row r="56" customFormat="false" ht="15" hidden="false" customHeight="false" outlineLevel="0" collapsed="false">
      <c r="A56" s="1" t="s">
        <v>89</v>
      </c>
      <c r="B56" s="1" t="s">
        <v>95</v>
      </c>
      <c r="C56" s="1" t="s">
        <v>96</v>
      </c>
      <c r="D56" s="1" t="s">
        <v>51</v>
      </c>
      <c r="E56" s="0" t="n">
        <v>5</v>
      </c>
      <c r="F56" s="1" t="n">
        <v>5</v>
      </c>
      <c r="G56" s="1" t="n">
        <v>0</v>
      </c>
      <c r="H56" s="12" t="n">
        <f aca="false">(F56/(F56+G56))</f>
        <v>1</v>
      </c>
      <c r="I56" s="1" t="s">
        <v>5</v>
      </c>
      <c r="J56" s="0" t="s">
        <v>19</v>
      </c>
    </row>
    <row r="57" customFormat="false" ht="15" hidden="false" customHeight="false" outlineLevel="0" collapsed="false">
      <c r="A57" s="1" t="s">
        <v>62</v>
      </c>
      <c r="B57" s="1" t="s">
        <v>47</v>
      </c>
      <c r="C57" s="1" t="s">
        <v>97</v>
      </c>
      <c r="D57" s="1" t="s">
        <v>25</v>
      </c>
      <c r="E57" s="0" t="n">
        <v>1</v>
      </c>
      <c r="F57" s="1" t="n">
        <v>1</v>
      </c>
      <c r="G57" s="1" t="n">
        <v>0</v>
      </c>
      <c r="H57" s="12" t="n">
        <f aca="false">(F57/(F57+G57))</f>
        <v>1</v>
      </c>
      <c r="I57" s="1" t="s">
        <v>3</v>
      </c>
      <c r="J57" s="0" t="s">
        <v>19</v>
      </c>
    </row>
    <row r="58" customFormat="false" ht="15" hidden="false" customHeight="false" outlineLevel="0" collapsed="false">
      <c r="A58" s="1" t="s">
        <v>62</v>
      </c>
      <c r="B58" s="1" t="s">
        <v>57</v>
      </c>
      <c r="C58" s="1" t="s">
        <v>98</v>
      </c>
      <c r="D58" s="1" t="s">
        <v>99</v>
      </c>
      <c r="E58" s="0" t="n">
        <v>1</v>
      </c>
      <c r="F58" s="1" t="n">
        <v>1</v>
      </c>
      <c r="G58" s="1" t="n">
        <v>0</v>
      </c>
      <c r="H58" s="12" t="n">
        <f aca="false">(F58/(F58+G58))</f>
        <v>1</v>
      </c>
      <c r="I58" s="1" t="s">
        <v>3</v>
      </c>
      <c r="J58" s="0" t="s">
        <v>19</v>
      </c>
    </row>
    <row r="59" customFormat="false" ht="15" hidden="false" customHeight="false" outlineLevel="0" collapsed="false">
      <c r="A59" s="1" t="s">
        <v>100</v>
      </c>
      <c r="B59" s="1" t="s">
        <v>47</v>
      </c>
      <c r="C59" s="1" t="s">
        <v>101</v>
      </c>
      <c r="D59" s="1" t="s">
        <v>25</v>
      </c>
      <c r="E59" s="0" t="n">
        <v>2</v>
      </c>
      <c r="F59" s="1" t="n">
        <v>2</v>
      </c>
      <c r="G59" s="1" t="n">
        <v>0</v>
      </c>
      <c r="H59" s="12" t="n">
        <f aca="false">(F59/(F59+G59))</f>
        <v>1</v>
      </c>
      <c r="I59" s="1" t="s">
        <v>5</v>
      </c>
      <c r="J59" s="0" t="s">
        <v>19</v>
      </c>
    </row>
    <row r="60" customFormat="false" ht="15" hidden="false" customHeight="false" outlineLevel="0" collapsed="false">
      <c r="A60" s="1" t="s">
        <v>100</v>
      </c>
      <c r="B60" s="1" t="s">
        <v>40</v>
      </c>
      <c r="C60" s="1" t="s">
        <v>102</v>
      </c>
      <c r="D60" s="1" t="s">
        <v>51</v>
      </c>
      <c r="E60" s="0" t="n">
        <v>20</v>
      </c>
      <c r="F60" s="1" t="n">
        <v>20</v>
      </c>
      <c r="G60" s="1" t="n">
        <v>0</v>
      </c>
      <c r="H60" s="12" t="n">
        <f aca="false">(F60/(F60+G60))</f>
        <v>1</v>
      </c>
      <c r="I60" s="1" t="s">
        <v>5</v>
      </c>
      <c r="J60" s="0" t="s">
        <v>19</v>
      </c>
    </row>
    <row r="61" customFormat="false" ht="15" hidden="false" customHeight="false" outlineLevel="0" collapsed="false">
      <c r="A61" s="1" t="s">
        <v>100</v>
      </c>
      <c r="B61" s="1" t="s">
        <v>40</v>
      </c>
      <c r="C61" s="1" t="s">
        <v>103</v>
      </c>
      <c r="D61" s="1" t="s">
        <v>51</v>
      </c>
      <c r="E61" s="0" t="n">
        <v>10</v>
      </c>
      <c r="F61" s="1" t="n">
        <v>10</v>
      </c>
      <c r="G61" s="1" t="n">
        <v>0</v>
      </c>
      <c r="H61" s="12" t="n">
        <f aca="false">(F61/(F61+G61))</f>
        <v>1</v>
      </c>
      <c r="I61" s="1" t="s">
        <v>5</v>
      </c>
      <c r="J61" s="0" t="s">
        <v>19</v>
      </c>
    </row>
    <row r="62" customFormat="false" ht="15" hidden="false" customHeight="false" outlineLevel="0" collapsed="false">
      <c r="A62" s="1" t="s">
        <v>100</v>
      </c>
      <c r="B62" s="1" t="s">
        <v>44</v>
      </c>
      <c r="C62" s="1" t="s">
        <v>104</v>
      </c>
      <c r="D62" s="1" t="s">
        <v>51</v>
      </c>
      <c r="E62" s="0" t="n">
        <v>5</v>
      </c>
      <c r="F62" s="1" t="n">
        <v>5</v>
      </c>
      <c r="G62" s="1" t="n">
        <v>0</v>
      </c>
      <c r="H62" s="12" t="n">
        <f aca="false">(F62/(F62+G62))</f>
        <v>1</v>
      </c>
      <c r="I62" s="1" t="s">
        <v>4</v>
      </c>
      <c r="J62" s="0" t="s">
        <v>19</v>
      </c>
    </row>
    <row r="63" customFormat="false" ht="15" hidden="false" customHeight="false" outlineLevel="0" collapsed="false">
      <c r="H63" s="12"/>
    </row>
    <row r="64" customFormat="false" ht="15" hidden="false" customHeight="false" outlineLevel="0" collapsed="false">
      <c r="H64" s="12"/>
    </row>
    <row r="65" customFormat="false" ht="15" hidden="false" customHeight="false" outlineLevel="0" collapsed="false">
      <c r="H65" s="12"/>
    </row>
    <row r="66" customFormat="false" ht="15" hidden="false" customHeight="false" outlineLevel="0" collapsed="false">
      <c r="H66" s="12"/>
    </row>
    <row r="67" customFormat="false" ht="15" hidden="false" customHeight="false" outlineLevel="0" collapsed="false">
      <c r="H67" s="12"/>
    </row>
    <row r="68" customFormat="false" ht="15" hidden="false" customHeight="false" outlineLevel="0" collapsed="false">
      <c r="H68" s="12"/>
    </row>
    <row r="69" customFormat="false" ht="15" hidden="false" customHeight="false" outlineLevel="0" collapsed="false">
      <c r="H69" s="12"/>
    </row>
    <row r="70" customFormat="false" ht="15" hidden="false" customHeight="false" outlineLevel="0" collapsed="false">
      <c r="H70" s="12"/>
    </row>
    <row r="71" customFormat="false" ht="15" hidden="false" customHeight="false" outlineLevel="0" collapsed="false">
      <c r="H71" s="12"/>
    </row>
    <row r="72" customFormat="false" ht="15" hidden="false" customHeight="false" outlineLevel="0" collapsed="false">
      <c r="H72" s="12"/>
    </row>
    <row r="73" customFormat="false" ht="15" hidden="false" customHeight="false" outlineLevel="0" collapsed="false">
      <c r="H73" s="12"/>
    </row>
    <row r="74" customFormat="false" ht="15" hidden="false" customHeight="false" outlineLevel="0" collapsed="false">
      <c r="H74" s="12"/>
    </row>
    <row r="75" customFormat="false" ht="15" hidden="false" customHeight="false" outlineLevel="0" collapsed="false">
      <c r="H75" s="12"/>
    </row>
    <row r="76" customFormat="false" ht="15" hidden="false" customHeight="false" outlineLevel="0" collapsed="false">
      <c r="H76" s="12"/>
    </row>
    <row r="77" customFormat="false" ht="15" hidden="false" customHeight="false" outlineLevel="0" collapsed="false">
      <c r="H77" s="12"/>
    </row>
    <row r="78" customFormat="false" ht="15" hidden="false" customHeight="false" outlineLevel="0" collapsed="false">
      <c r="H78" s="12"/>
    </row>
    <row r="79" customFormat="false" ht="15" hidden="false" customHeight="false" outlineLevel="0" collapsed="false">
      <c r="H79" s="12"/>
    </row>
    <row r="80" customFormat="false" ht="15" hidden="false" customHeight="false" outlineLevel="0" collapsed="false">
      <c r="H80" s="12"/>
    </row>
    <row r="81" customFormat="false" ht="15" hidden="false" customHeight="false" outlineLevel="0" collapsed="false">
      <c r="H81" s="12"/>
    </row>
    <row r="82" customFormat="false" ht="15" hidden="false" customHeight="false" outlineLevel="0" collapsed="false">
      <c r="H82" s="12"/>
    </row>
    <row r="83" customFormat="false" ht="15" hidden="false" customHeight="false" outlineLevel="0" collapsed="false">
      <c r="H83" s="12"/>
    </row>
    <row r="84" customFormat="false" ht="15" hidden="false" customHeight="false" outlineLevel="0" collapsed="false">
      <c r="H84" s="12"/>
    </row>
    <row r="85" customFormat="false" ht="15" hidden="false" customHeight="false" outlineLevel="0" collapsed="false">
      <c r="H85" s="12"/>
    </row>
    <row r="86" customFormat="false" ht="15" hidden="false" customHeight="false" outlineLevel="0" collapsed="false">
      <c r="H86" s="12"/>
    </row>
    <row r="87" customFormat="false" ht="15" hidden="false" customHeight="false" outlineLevel="0" collapsed="false">
      <c r="H87" s="12"/>
    </row>
    <row r="88" customFormat="false" ht="15" hidden="false" customHeight="false" outlineLevel="0" collapsed="false">
      <c r="H88" s="12"/>
    </row>
    <row r="89" customFormat="false" ht="15" hidden="false" customHeight="false" outlineLevel="0" collapsed="false">
      <c r="H89" s="12"/>
    </row>
    <row r="90" customFormat="false" ht="15" hidden="false" customHeight="false" outlineLevel="0" collapsed="false">
      <c r="H90" s="12"/>
    </row>
    <row r="91" customFormat="false" ht="15" hidden="false" customHeight="false" outlineLevel="0" collapsed="false">
      <c r="H91" s="12"/>
    </row>
    <row r="92" customFormat="false" ht="15" hidden="false" customHeight="false" outlineLevel="0" collapsed="false">
      <c r="H92" s="12"/>
    </row>
    <row r="93" customFormat="false" ht="15" hidden="false" customHeight="false" outlineLevel="0" collapsed="false">
      <c r="H93" s="12"/>
    </row>
    <row r="94" customFormat="false" ht="15" hidden="false" customHeight="false" outlineLevel="0" collapsed="false">
      <c r="H94" s="12"/>
    </row>
    <row r="95" customFormat="false" ht="15" hidden="false" customHeight="false" outlineLevel="0" collapsed="false">
      <c r="H95" s="12"/>
    </row>
    <row r="96" customFormat="false" ht="15" hidden="false" customHeight="false" outlineLevel="0" collapsed="false">
      <c r="H96" s="12"/>
    </row>
    <row r="97" customFormat="false" ht="15" hidden="false" customHeight="false" outlineLevel="0" collapsed="false">
      <c r="H97" s="12"/>
    </row>
    <row r="98" customFormat="false" ht="15" hidden="false" customHeight="false" outlineLevel="0" collapsed="false">
      <c r="H98" s="12"/>
    </row>
    <row r="99" customFormat="false" ht="15" hidden="false" customHeight="false" outlineLevel="0" collapsed="false">
      <c r="H99" s="12"/>
    </row>
    <row r="100" customFormat="false" ht="15" hidden="false" customHeight="false" outlineLevel="0" collapsed="false">
      <c r="H100" s="12"/>
    </row>
    <row r="101" customFormat="false" ht="15" hidden="false" customHeight="false" outlineLevel="0" collapsed="false">
      <c r="H101" s="12"/>
    </row>
    <row r="102" customFormat="false" ht="15" hidden="false" customHeight="false" outlineLevel="0" collapsed="false">
      <c r="H102" s="12"/>
    </row>
    <row r="103" customFormat="false" ht="15" hidden="false" customHeight="false" outlineLevel="0" collapsed="false">
      <c r="H103" s="12"/>
    </row>
    <row r="104" customFormat="false" ht="15" hidden="false" customHeight="false" outlineLevel="0" collapsed="false">
      <c r="H104" s="12"/>
    </row>
    <row r="105" customFormat="false" ht="15" hidden="false" customHeight="false" outlineLevel="0" collapsed="false">
      <c r="H105" s="12"/>
    </row>
    <row r="106" customFormat="false" ht="15" hidden="false" customHeight="false" outlineLevel="0" collapsed="false">
      <c r="H106" s="12"/>
    </row>
    <row r="107" customFormat="false" ht="15" hidden="false" customHeight="false" outlineLevel="0" collapsed="false">
      <c r="H107" s="12"/>
    </row>
    <row r="108" customFormat="false" ht="15" hidden="false" customHeight="false" outlineLevel="0" collapsed="false">
      <c r="H108" s="12"/>
    </row>
    <row r="109" customFormat="false" ht="15" hidden="false" customHeight="false" outlineLevel="0" collapsed="false">
      <c r="H109" s="12"/>
    </row>
    <row r="110" customFormat="false" ht="15" hidden="false" customHeight="false" outlineLevel="0" collapsed="false">
      <c r="H110" s="12"/>
    </row>
    <row r="111" customFormat="false" ht="15" hidden="false" customHeight="false" outlineLevel="0" collapsed="false">
      <c r="H111" s="12"/>
    </row>
    <row r="112" customFormat="false" ht="15" hidden="false" customHeight="false" outlineLevel="0" collapsed="false">
      <c r="H112" s="12"/>
    </row>
    <row r="113" customFormat="false" ht="15" hidden="false" customHeight="false" outlineLevel="0" collapsed="false">
      <c r="H113" s="12"/>
    </row>
    <row r="114" customFormat="false" ht="15" hidden="false" customHeight="false" outlineLevel="0" collapsed="false">
      <c r="H114" s="12"/>
    </row>
    <row r="115" customFormat="false" ht="15" hidden="false" customHeight="false" outlineLevel="0" collapsed="false">
      <c r="H115" s="12"/>
    </row>
    <row r="514" customFormat="false" ht="15.75" hidden="false" customHeight="false" outlineLevel="0" collapsed="false">
      <c r="B514" s="1" t="s">
        <v>105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0.58203125" defaultRowHeight="15.75" zeroHeight="false" outlineLevelRow="0" outlineLevelCol="0"/>
  <cols>
    <col collapsed="false" customWidth="true" hidden="false" outlineLevel="0" max="1" min="1" style="1" width="25.5"/>
    <col collapsed="false" customWidth="true" hidden="false" outlineLevel="0" max="2" min="2" style="1" width="25.83"/>
    <col collapsed="false" customWidth="true" hidden="false" outlineLevel="0" max="3" min="3" style="1" width="30.83"/>
    <col collapsed="false" customWidth="true" hidden="false" outlineLevel="0" max="4" min="4" style="1" width="12.51"/>
    <col collapsed="false" customWidth="true" hidden="false" outlineLevel="0" max="5" min="5" style="1" width="22.5"/>
  </cols>
  <sheetData>
    <row r="1" customFormat="false" ht="15.75" hidden="false" customHeight="false" outlineLevel="0" collapsed="false">
      <c r="A1" s="11" t="s">
        <v>106</v>
      </c>
      <c r="B1" s="11" t="s">
        <v>107</v>
      </c>
      <c r="C1" s="11" t="s">
        <v>108</v>
      </c>
      <c r="D1" s="11" t="s">
        <v>109</v>
      </c>
      <c r="E1" s="11" t="s">
        <v>110</v>
      </c>
    </row>
    <row r="2" customFormat="false" ht="15.75" hidden="false" customHeight="false" outlineLevel="0" collapsed="false">
      <c r="A2" s="1" t="n">
        <f aca="false">SUM('liste des taches'!E2:E311)</f>
        <v>694</v>
      </c>
      <c r="B2" s="1" t="n">
        <f aca="false">SUM('liste des taches'!F2:F311)</f>
        <v>682</v>
      </c>
      <c r="C2" s="1" t="n">
        <f aca="false">SUM('liste des taches'!G2:G311)</f>
        <v>0</v>
      </c>
      <c r="D2" s="12" t="n">
        <f aca="false">(B2/(B2+C2))</f>
        <v>1</v>
      </c>
      <c r="E2" s="14" t="n">
        <f aca="false">((B2+C2)-A2)/A2</f>
        <v>-0.0172910662824208</v>
      </c>
    </row>
    <row r="3" customFormat="false" ht="15.75" hidden="false" customHeight="false" outlineLevel="0" collapsed="false">
      <c r="C3" s="1" t="n">
        <f aca="false">C2/60</f>
        <v>0</v>
      </c>
      <c r="D3" s="1" t="s">
        <v>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0.58203125" defaultRowHeight="15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2026-01-08T08:10:07Z</dcterms:created>
  <dc:creator>Rojo Raben</dc:creator>
  <dc:description/>
  <dc:language>fr-FR</dc:language>
  <cp:lastModifiedBy/>
  <dcterms:modified xsi:type="dcterms:W3CDTF">2026-02-17T12:44:05Z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